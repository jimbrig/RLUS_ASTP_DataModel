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esolutionlife-my.sharepoint.com/personal/jimmy_briggs_resolutionlife_us/Documents/1-Projects/RLUS_ASTP_XL_DataModel/"/>
    </mc:Choice>
  </mc:AlternateContent>
  <xr:revisionPtr revIDLastSave="2" documentId="8_{EB315FFC-41DA-4DD2-9CCB-D6837ACFB41F}" xr6:coauthVersionLast="47" xr6:coauthVersionMax="47" xr10:uidLastSave="{5695798B-B044-4E18-B147-6FD7EF2E2C2E}"/>
  <bookViews>
    <workbookView minimized="1" xWindow="2790" yWindow="2010" windowWidth="21600" windowHeight="10605" xr2:uid="{B8C91171-DAE4-4D25-A7CA-11CBD2B33B22}"/>
  </bookViews>
  <sheets>
    <sheet name="Input" sheetId="1" r:id="rId1"/>
    <sheet name="Contents" sheetId="2" r:id="rId2"/>
    <sheet name="Changelog" sheetId="3" r:id="rId3"/>
    <sheet name="Styles" sheetId="32" r:id="rId4"/>
    <sheet name="Config - Styles" sheetId="33" r:id="rId5"/>
    <sheet name="Notes" sheetId="4" r:id="rId6"/>
    <sheet name="Names 2023-Jan-10" sheetId="31" r:id="rId7"/>
    <sheet name="Sheet4" sheetId="30" r:id="rId8"/>
    <sheet name="Data Dictionary" sheetId="29" r:id="rId9"/>
    <sheet name="DynDB_JobMetadata" sheetId="26" r:id="rId10"/>
    <sheet name="Sheet10" sheetId="34" r:id="rId11"/>
    <sheet name="Sheet2" sheetId="28" r:id="rId12"/>
    <sheet name="Sheet1" sheetId="27" r:id="rId13"/>
    <sheet name="Map_Block" sheetId="5" r:id="rId14"/>
    <sheet name="Base_SummaryCombos_IS" sheetId="25" r:id="rId15"/>
    <sheet name="Base_SummaryCombos_BS" sheetId="24" r:id="rId16"/>
    <sheet name="Base Tables -&gt;" sheetId="23" r:id="rId17"/>
    <sheet name="Map_EntryType" sheetId="22" r:id="rId18"/>
    <sheet name="Map_Segment" sheetId="21" r:id="rId19"/>
    <sheet name="Map_InsCode" sheetId="20" r:id="rId20"/>
    <sheet name="Map_ProdType" sheetId="19" r:id="rId21"/>
    <sheet name="Map_Product" sheetId="18" r:id="rId22"/>
    <sheet name="Map_LE" sheetId="17" r:id="rId23"/>
    <sheet name="Map_Company" sheetId="16" r:id="rId24"/>
    <sheet name="Map_Source_Chg_In_Balance" sheetId="15" r:id="rId25"/>
    <sheet name="Map_Source_Balance" sheetId="14" r:id="rId26"/>
    <sheet name="Map_InputSource" sheetId="13" r:id="rId27"/>
    <sheet name="Map_FinReins" sheetId="12" r:id="rId28"/>
    <sheet name="Map_SubDeal" sheetId="11" r:id="rId29"/>
    <sheet name="Map_Balance_IS" sheetId="10" r:id="rId30"/>
    <sheet name="Map_Balance_BS" sheetId="9" r:id="rId31"/>
    <sheet name="SETUP" sheetId="6" r:id="rId32"/>
    <sheet name="Sheet7" sheetId="7" r:id="rId33"/>
    <sheet name="Sheet8" sheetId="8" r:id="rId34"/>
  </sheets>
  <functionGroups builtInGroupCount="19"/>
  <definedNames>
    <definedName name="_xlnm._FilterDatabase" localSheetId="6" hidden="1">'Names 2023-Jan-10'!$A$1:$M$3</definedName>
    <definedName name="rngValDate" comment="Workbook Scoped Named Range for the Current/Latest Evaluation Date">Input!$C$5</definedName>
  </definedNames>
  <calcPr calcId="191029"/>
  <pivotCaches>
    <pivotCache cacheId="1" r:id="rId3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111" i="26" l="1"/>
  <c r="AI110" i="26"/>
  <c r="AI109" i="26"/>
  <c r="AI108" i="26"/>
  <c r="AI107" i="26"/>
  <c r="AI106" i="26"/>
  <c r="AI105" i="26"/>
  <c r="AI104" i="26"/>
  <c r="AI103" i="26"/>
  <c r="AI102" i="26"/>
  <c r="AI101" i="26"/>
  <c r="AI100" i="26"/>
  <c r="AI99" i="26"/>
  <c r="AI98" i="26"/>
  <c r="AI97" i="26"/>
  <c r="AI96" i="26"/>
  <c r="AI95" i="26"/>
  <c r="AI94" i="26"/>
  <c r="AI93" i="26"/>
  <c r="AI92" i="26"/>
  <c r="AI91" i="26"/>
  <c r="AI90" i="26"/>
  <c r="AI89" i="26"/>
  <c r="AI88" i="26"/>
  <c r="AI87" i="26"/>
  <c r="AI86" i="26"/>
  <c r="AI85" i="26"/>
  <c r="AI84" i="26"/>
  <c r="AI83" i="26"/>
  <c r="AI82" i="26"/>
  <c r="AI81" i="26"/>
  <c r="AI80" i="26"/>
  <c r="AI79" i="26"/>
  <c r="AI78" i="26"/>
  <c r="AI77" i="26"/>
  <c r="AI76" i="26"/>
  <c r="AI75" i="26"/>
  <c r="AI74" i="26"/>
  <c r="AI73" i="26"/>
  <c r="AI72" i="26"/>
  <c r="AI71" i="26"/>
  <c r="AI70" i="26"/>
  <c r="AI69" i="26"/>
  <c r="AI68" i="26"/>
  <c r="AI67" i="26"/>
  <c r="AI66" i="26"/>
  <c r="AI65" i="26"/>
  <c r="AI64" i="26"/>
  <c r="AI63" i="26"/>
  <c r="AI62" i="26"/>
  <c r="AI61" i="26"/>
  <c r="AI60" i="26"/>
  <c r="AI59" i="26"/>
  <c r="AI58" i="26"/>
  <c r="AI57" i="26"/>
  <c r="AI56" i="26"/>
  <c r="AI55" i="26"/>
  <c r="AI54" i="26"/>
  <c r="AI53" i="26"/>
  <c r="AI52" i="26"/>
  <c r="AI10" i="26"/>
  <c r="AI11" i="26"/>
  <c r="AI12" i="26"/>
  <c r="AI13" i="26"/>
  <c r="AI14" i="26"/>
  <c r="AI15" i="26"/>
  <c r="AI16" i="26"/>
  <c r="AI17" i="26"/>
  <c r="AI18" i="26"/>
  <c r="AI19" i="26"/>
  <c r="AI20" i="26"/>
  <c r="AI21" i="26"/>
  <c r="AI22" i="26"/>
  <c r="AI23" i="26"/>
  <c r="AI24" i="26"/>
  <c r="AI25" i="26"/>
  <c r="AI26" i="26"/>
  <c r="AI27" i="26"/>
  <c r="AI28" i="26"/>
  <c r="AI29" i="26"/>
  <c r="AI30" i="26"/>
  <c r="AI31" i="26"/>
  <c r="AI32" i="26"/>
  <c r="AI33" i="26"/>
  <c r="AI34" i="26"/>
  <c r="AI35" i="26"/>
  <c r="AI36" i="26"/>
  <c r="AI37" i="26"/>
  <c r="AI38" i="26"/>
  <c r="AI39" i="26"/>
  <c r="AI40" i="26"/>
  <c r="AI41" i="26"/>
  <c r="AI42" i="26"/>
  <c r="AI43" i="26"/>
  <c r="AI44" i="26"/>
  <c r="AI45" i="26"/>
  <c r="AI46" i="26"/>
  <c r="AI47" i="26"/>
  <c r="AI48" i="26"/>
  <c r="AI49" i="26"/>
  <c r="AI50" i="26"/>
  <c r="AI51" i="26"/>
  <c r="AI9" i="26"/>
  <c r="AG110" i="26" l="1"/>
  <c r="AF110" i="26"/>
  <c r="AG109" i="26"/>
  <c r="AF109" i="26"/>
  <c r="AG108" i="26"/>
  <c r="AF108" i="26"/>
  <c r="AG107" i="26"/>
  <c r="AF107" i="26"/>
  <c r="AG106" i="26"/>
  <c r="AF106" i="26"/>
  <c r="AG105" i="26"/>
  <c r="AF105" i="26"/>
  <c r="AG104" i="26"/>
  <c r="AF104" i="26"/>
  <c r="AG103" i="26"/>
  <c r="AF103" i="26"/>
  <c r="AG102" i="26"/>
  <c r="AF102" i="26"/>
  <c r="AG101" i="26"/>
  <c r="AF101" i="26"/>
  <c r="AG100" i="26"/>
  <c r="AF100" i="26"/>
  <c r="AG99" i="26"/>
  <c r="AF99" i="26"/>
  <c r="AG98" i="26"/>
  <c r="AF98" i="26"/>
  <c r="AG97" i="26"/>
  <c r="AF97" i="26"/>
  <c r="AG96" i="26"/>
  <c r="AF96" i="26"/>
  <c r="AG95" i="26"/>
  <c r="AF95" i="26"/>
  <c r="AG94" i="26"/>
  <c r="AF94" i="26"/>
  <c r="AG93" i="26"/>
  <c r="AF93" i="26"/>
  <c r="AG92" i="26"/>
  <c r="AF92" i="26"/>
  <c r="AG91" i="26"/>
  <c r="AF91" i="26"/>
  <c r="AG90" i="26"/>
  <c r="AF90" i="26"/>
  <c r="AG89" i="26"/>
  <c r="AF89" i="26"/>
  <c r="AG88" i="26"/>
  <c r="AF88" i="26"/>
  <c r="AG87" i="26"/>
  <c r="AF87" i="26"/>
  <c r="AG86" i="26"/>
  <c r="AF86" i="26"/>
  <c r="AG85" i="26"/>
  <c r="AF85" i="26"/>
  <c r="AG84" i="26"/>
  <c r="AF84" i="26"/>
  <c r="AG83" i="26"/>
  <c r="AF83" i="26"/>
  <c r="AG82" i="26"/>
  <c r="AF82" i="26"/>
  <c r="AG81" i="26"/>
  <c r="AF81" i="26"/>
  <c r="AG80" i="26"/>
  <c r="AF80" i="26"/>
  <c r="AG79" i="26"/>
  <c r="AF79" i="26"/>
  <c r="AG78" i="26"/>
  <c r="AF78" i="26"/>
  <c r="AG77" i="26"/>
  <c r="AF77" i="26"/>
  <c r="AG76" i="26"/>
  <c r="AF76" i="26"/>
  <c r="AG75" i="26"/>
  <c r="AF75" i="26"/>
  <c r="AG74" i="26"/>
  <c r="AF74" i="26"/>
  <c r="AG73" i="26"/>
  <c r="AF73" i="26"/>
  <c r="AG72" i="26"/>
  <c r="AF72" i="26"/>
  <c r="AG71" i="26"/>
  <c r="AF71" i="26"/>
  <c r="AG70" i="26"/>
  <c r="AF70" i="26"/>
  <c r="AG69" i="26"/>
  <c r="AF69" i="26"/>
  <c r="AG68" i="26"/>
  <c r="AF68" i="26"/>
  <c r="AG67" i="26"/>
  <c r="AF67" i="26"/>
  <c r="AG66" i="26"/>
  <c r="AF66" i="26"/>
  <c r="AG65" i="26"/>
  <c r="AF65" i="26"/>
  <c r="AG64" i="26"/>
  <c r="AF64" i="26"/>
  <c r="AG63" i="26"/>
  <c r="AF63" i="26"/>
  <c r="AG62" i="26"/>
  <c r="AF62" i="26"/>
  <c r="AG61" i="26"/>
  <c r="AF61" i="26"/>
  <c r="AG60" i="26"/>
  <c r="AF60" i="26"/>
  <c r="AG59" i="26"/>
  <c r="AF59" i="26"/>
  <c r="AG58" i="26"/>
  <c r="AF58" i="26"/>
  <c r="AG57" i="26"/>
  <c r="AF57" i="26"/>
  <c r="AG56" i="26"/>
  <c r="AF56" i="26"/>
  <c r="AG55" i="26"/>
  <c r="AF55" i="26"/>
  <c r="AG54" i="26"/>
  <c r="AF54" i="26"/>
  <c r="AG53" i="26"/>
  <c r="AF53" i="26"/>
  <c r="AG52" i="26"/>
  <c r="AF52" i="26"/>
  <c r="AG51" i="26"/>
  <c r="AF51" i="26"/>
  <c r="AG50" i="26"/>
  <c r="AF50" i="26"/>
  <c r="AG49" i="26"/>
  <c r="AF49" i="26"/>
  <c r="AG48" i="26"/>
  <c r="AF48" i="26"/>
  <c r="AG47" i="26"/>
  <c r="AF47" i="26"/>
  <c r="AG46" i="26"/>
  <c r="AF46" i="26"/>
  <c r="AG45" i="26"/>
  <c r="AF45" i="26"/>
  <c r="AG44" i="26"/>
  <c r="AF44" i="26"/>
  <c r="AG43" i="26"/>
  <c r="AF43" i="26"/>
  <c r="AG42" i="26"/>
  <c r="AF42" i="26"/>
  <c r="AG41" i="26"/>
  <c r="AF41" i="26"/>
  <c r="AG40" i="26"/>
  <c r="AF40" i="26"/>
  <c r="AG39" i="26"/>
  <c r="AF39" i="26"/>
  <c r="AG38" i="26"/>
  <c r="AF38" i="26"/>
  <c r="AG37" i="26"/>
  <c r="AF37" i="26"/>
  <c r="AG36" i="26"/>
  <c r="AF36" i="26"/>
  <c r="AG35" i="26"/>
  <c r="AF35" i="26"/>
  <c r="AG34" i="26"/>
  <c r="AF34" i="26"/>
  <c r="AG33" i="26"/>
  <c r="AF33" i="26"/>
  <c r="AG32" i="26"/>
  <c r="AF32" i="26"/>
  <c r="AG31" i="26"/>
  <c r="AF31" i="26"/>
  <c r="AG30" i="26"/>
  <c r="AF30" i="26"/>
  <c r="AG29" i="26"/>
  <c r="AF29" i="26"/>
  <c r="AG28" i="26"/>
  <c r="AF28" i="26"/>
  <c r="AG27" i="26"/>
  <c r="AF27" i="26"/>
  <c r="AG26" i="26"/>
  <c r="AF26" i="26"/>
  <c r="AG25" i="26"/>
  <c r="AF25" i="26"/>
  <c r="AG24" i="26"/>
  <c r="AF24" i="26"/>
  <c r="AG23" i="26"/>
  <c r="AF23" i="26"/>
  <c r="AG22" i="26"/>
  <c r="AF22" i="26"/>
  <c r="AG21" i="26"/>
  <c r="AF21" i="26"/>
  <c r="AG20" i="26"/>
  <c r="AF20" i="26"/>
  <c r="AG19" i="26"/>
  <c r="AF19" i="26"/>
  <c r="AG18" i="26"/>
  <c r="AF18" i="26"/>
  <c r="AG17" i="26"/>
  <c r="AF17" i="26"/>
  <c r="AG16" i="26"/>
  <c r="AF16" i="26"/>
  <c r="AG15" i="26"/>
  <c r="AF15" i="26"/>
  <c r="AG14" i="26"/>
  <c r="AF14" i="26"/>
  <c r="AG13" i="26"/>
  <c r="AF13" i="26"/>
  <c r="AG12" i="26"/>
  <c r="AF12" i="26"/>
  <c r="AG11" i="26"/>
  <c r="AF11" i="26"/>
  <c r="AG10" i="26"/>
  <c r="AF10" i="26"/>
  <c r="AG9" i="26"/>
  <c r="AF9" i="26"/>
  <c r="AG111" i="26"/>
  <c r="AF111" i="26"/>
  <c r="AD9" i="26" a="1"/>
  <c r="AD9" i="26" s="1"/>
  <c r="B4" i="26" l="1"/>
  <c r="B9" i="6" l="1"/>
  <c r="B10" i="6"/>
  <c r="B11" i="6"/>
  <c r="B12" i="6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8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1C9A9E-57FB-4845-8460-73EDB11F00B3}" keepAlive="1" name="Query - 2023-01-09_DynamoDB_LAKE ACTUARIAL PROPHET JOB METADATA" description="Connection to the '2023-01-09_DynamoDB_LAKE ACTUARIAL PROPHET JOB METADATA' query in the workbook." type="5" refreshedVersion="7" background="1" saveData="1">
    <dbPr connection="Provider=Microsoft.Mashup.OleDb.1;Data Source=$Workbook$;Location=&quot;2023-01-09_DynamoDB_LAKE ACTUARIAL PROPHET JOB METADATA&quot;;Extended Properties=&quot;&quot;" command="SELECT * FROM [2023-01-09_DynamoDB_LAKE ACTUARIAL PROPHET JOB METADATA]"/>
  </connection>
  <connection id="2" xr16:uid="{BBD05F56-F35C-464E-989D-2D4D3940D085}" keepAlive="1" name="Query - Base_SummaryCombos_BS" description="Connection to the 'Base_SummaryCombos_BS' query in the workbook." type="5" refreshedVersion="0" background="1">
    <dbPr connection="Provider=Microsoft.Mashup.OleDb.1;Data Source=$Workbook$;Location=Base_SummaryCombos_BS;Extended Properties=&quot;&quot;" command="SELECT * FROM [Base_SummaryCombos_BS]"/>
  </connection>
  <connection id="3" xr16:uid="{F4C13903-9F07-43A9-99F8-49CE681721F7}" keepAlive="1" name="Query - Change Log" description="Connection to the 'Change Log' query in the workbook." type="5" refreshedVersion="0" background="1">
    <dbPr connection="Provider=Microsoft.Mashup.OleDb.1;Data Source=$Workbook$;Location=&quot;Change Log&quot;;Extended Properties=&quot;&quot;" command="SELECT * FROM [Change Log]"/>
  </connection>
  <connection id="4" xr16:uid="{83F0ED79-4FF4-47B4-81B3-1B7566BA5783}" keepAlive="1" name="Query - Column1" description="Connection to the 'Column1' query in the workbook." type="5" refreshedVersion="0" background="1">
    <dbPr connection="Provider=Microsoft.Mashup.OleDb.1;Data Source=$Workbook$;Location=Column1;Extended Properties=&quot;&quot;" command="SELECT * FROM [Column1]"/>
  </connection>
  <connection id="5" xr16:uid="{C7208121-D503-464A-8C2C-D58A3CAC5C36}" keepAlive="1" name="Query - Column1 (2)" description="Connection to the 'Column1 (2)' query in the workbook." type="5" refreshedVersion="0" background="1">
    <dbPr connection="Provider=Microsoft.Mashup.OleDb.1;Data Source=$Workbook$;Location=&quot;Column1 (2)&quot;;Extended Properties=&quot;&quot;" command="SELECT * FROM [Column1 (2)]"/>
  </connection>
  <connection id="6" xr16:uid="{C7C09EC8-D159-4C18-95CD-4E766A88F2BE}" keepAlive="1" name="Query - Column1 (3)" description="Connection to the 'Column1 (3)' query in the workbook." type="5" refreshedVersion="0" background="1">
    <dbPr connection="Provider=Microsoft.Mashup.OleDb.1;Data Source=$Workbook$;Location=&quot;Column1 (3)&quot;;Extended Properties=&quot;&quot;" command="SELECT * FROM [Column1 (3)]"/>
  </connection>
  <connection id="7" xr16:uid="{8162F097-B7BC-42AE-AA84-B18B27DAC7D3}" keepAlive="1" name="Query - GetTableDescription" description="Connection to the 'GetTableDescription' query in the workbook." type="5" refreshedVersion="0" background="1">
    <dbPr connection="Provider=Microsoft.Mashup.OleDb.1;Data Source=$Workbook$;Location=GetTableDescription;Extended Properties=&quot;&quot;" command="SELECT * FROM [GetTableDescription]"/>
  </connection>
  <connection id="8" xr16:uid="{2729B398-D0E2-4052-B7C0-360B3980ACA4}" keepAlive="1" name="Query - Input_BS_Prpht_VoyaBlk_Seriatim" description="Connection to the 'Input_BS_Prpht_VoyaBlk_Seriatim' query in the workbook." type="5" refreshedVersion="0" background="1">
    <dbPr connection="Provider=Microsoft.Mashup.OleDb.1;Data Source=$Workbook$;Location=Input_BS_Prpht_VoyaBlk_Seriatim;Extended Properties=&quot;&quot;" command="SELECT * FROM [Input_BS_Prpht_VoyaBlk_Seriatim]"/>
  </connection>
  <connection id="9" xr16:uid="{6A3AF5DE-6FC2-4639-B589-179DD84218DE}" keepAlive="1" name="Query - Input_BS_Topsides_Othr" description="Connection to the 'Input_BS_Topsides_Othr' query in the workbook." type="5" refreshedVersion="0" background="1">
    <dbPr connection="Provider=Microsoft.Mashup.OleDb.1;Data Source=$Workbook$;Location=Input_BS_Topsides_Othr;Extended Properties=&quot;&quot;" command="SELECT * FROM [Input_BS_Topsides_Othr]"/>
  </connection>
  <connection id="10" xr16:uid="{7F0FABB2-533C-4C69-921A-EBF72E390530}" keepAlive="1" name="Query - Input_BS_Topsides_QtrLag" description="Connection to the 'Input_BS_Topsides_QtrLag' query in the workbook." type="5" refreshedVersion="0" background="1">
    <dbPr connection="Provider=Microsoft.Mashup.OleDb.1;Data Source=$Workbook$;Location=Input_BS_Topsides_QtrLag;Extended Properties=&quot;&quot;" command="SELECT * FROM [Input_BS_Topsides_QtrLag]"/>
  </connection>
  <connection id="11" xr16:uid="{C939A102-F47C-4AFC-B2EC-7BDE228BFED6}" keepAlive="1" name="Query - Input_BS_Topsides_SchRunoff" description="Connection to the 'Input_BS_Topsides_SchRunoff' query in the workbook." type="5" refreshedVersion="0" background="1">
    <dbPr connection="Provider=Microsoft.Mashup.OleDb.1;Data Source=$Workbook$;Location=Input_BS_Topsides_SchRunoff;Extended Properties=&quot;&quot;" command="SELECT * FROM [Input_BS_Topsides_SchRunoff]"/>
  </connection>
  <connection id="12" xr16:uid="{95B4203C-2F85-48DE-95FE-658F35E7FCF3}" keepAlive="1" name="Query - Input_IS_Prpht_VoyaBlk_Seriatim" description="Connection to the 'Input_IS_Prpht_VoyaBlk_Seriatim' query in the workbook." type="5" refreshedVersion="0" background="1">
    <dbPr connection="Provider=Microsoft.Mashup.OleDb.1;Data Source=$Workbook$;Location=Input_IS_Prpht_VoyaBlk_Seriatim;Extended Properties=&quot;&quot;" command="SELECT * FROM [Input_IS_Prpht_VoyaBlk_Seriatim]"/>
  </connection>
  <connection id="13" xr16:uid="{D9AC67C6-04A7-4998-AB62-B242ABB53DF6}" keepAlive="1" name="Query - Input_IS_Topsides_Othr" description="Connection to the 'Input_IS_Topsides_Othr' query in the workbook." type="5" refreshedVersion="0" background="1">
    <dbPr connection="Provider=Microsoft.Mashup.OleDb.1;Data Source=$Workbook$;Location=Input_IS_Topsides_Othr;Extended Properties=&quot;&quot;" command="SELECT * FROM [Input_IS_Topsides_Othr]"/>
  </connection>
  <connection id="14" xr16:uid="{2A4F4269-C5E9-4FEA-9C77-8571D677F70D}" keepAlive="1" name="Query - Invoked Function" description="Connection to the 'Invoked Function' query in the workbook." type="5" refreshedVersion="0" background="1">
    <dbPr connection="Provider=Microsoft.Mashup.OleDb.1;Data Source=$Workbook$;Location=&quot;Invoked Function&quot;;Extended Properties=&quot;&quot;" command="SELECT * FROM [Invoked Function]"/>
  </connection>
  <connection id="15" xr16:uid="{A309B906-DAEF-49C7-B0AF-FFB5A8D74540}" keepAlive="1" name="Query - Map_Balance_BS" description="Connection to the 'Map_Balance_BS' query in the workbook." type="5" refreshedVersion="0" background="1">
    <dbPr connection="Provider=Microsoft.Mashup.OleDb.1;Data Source=$Workbook$;Location=Map_Balance_BS;Extended Properties=&quot;&quot;" command="SELECT * FROM [Map_Balance_BS]"/>
  </connection>
  <connection id="16" xr16:uid="{76DFB529-B205-4CF4-9D26-A6657E21F7D7}" keepAlive="1" name="Query - Map_Balance_Disc" description="Connection to the 'Map_Balance_Disc' query in the workbook." type="5" refreshedVersion="0" background="1">
    <dbPr connection="Provider=Microsoft.Mashup.OleDb.1;Data Source=$Workbook$;Location=Map_Balance_Disc;Extended Properties=&quot;&quot;" command="SELECT * FROM [Map_Balance_Disc]"/>
  </connection>
  <connection id="17" xr16:uid="{0EDDB3F4-5C81-47A9-888D-C742A85536B5}" keepAlive="1" name="Query - Map_Balance_IS" description="Connection to the 'Map_Balance_IS' query in the workbook." type="5" refreshedVersion="0" background="1">
    <dbPr connection="Provider=Microsoft.Mashup.OleDb.1;Data Source=$Workbook$;Location=Map_Balance_IS;Extended Properties=&quot;&quot;" command="SELECT * FROM [Map_Balance_IS]"/>
  </connection>
  <connection id="18" xr16:uid="{08FDED46-08EC-46BF-984B-4FC6F7A1ED7F}" keepAlive="1" name="Query - Map_Block" description="Connection to the 'Map_Block' query in the workbook." type="5" refreshedVersion="0" background="1">
    <dbPr connection="Provider=Microsoft.Mashup.OleDb.1;Data Source=$Workbook$;Location=Map_Block;Extended Properties=&quot;&quot;" command="SELECT * FROM [Map_Block]"/>
  </connection>
  <connection id="19" xr16:uid="{B1101BC3-88C1-473C-8871-329CD051EE2F}" keepAlive="1" name="Query - Map_Company" description="Connection to the 'Map_Company' query in the workbook." type="5" refreshedVersion="0" background="1">
    <dbPr connection="Provider=Microsoft.Mashup.OleDb.1;Data Source=$Workbook$;Location=Map_Company;Extended Properties=&quot;&quot;" command="SELECT * FROM [Map_Company]"/>
  </connection>
  <connection id="20" xr16:uid="{88EFC5F7-89CD-4B95-A46D-A02FF9A2ADD6}" keepAlive="1" name="Query - Map_EntryType" description="Connection to the 'Map_EntryType' query in the workbook." type="5" refreshedVersion="0" background="1">
    <dbPr connection="Provider=Microsoft.Mashup.OleDb.1;Data Source=$Workbook$;Location=Map_EntryType;Extended Properties=&quot;&quot;" command="SELECT * FROM [Map_EntryType]"/>
  </connection>
  <connection id="21" xr16:uid="{1BF2FCC5-5DD3-4E8D-909E-8DF093AB99CE}" keepAlive="1" name="Query - Map_FinReins" description="Connection to the 'Map_FinReins' query in the workbook." type="5" refreshedVersion="0" background="1">
    <dbPr connection="Provider=Microsoft.Mashup.OleDb.1;Data Source=$Workbook$;Location=Map_FinReins;Extended Properties=&quot;&quot;" command="SELECT * FROM [Map_FinReins]"/>
  </connection>
  <connection id="22" xr16:uid="{47C37D3C-537E-48CE-99EC-73D9B95C576D}" keepAlive="1" name="Query - Map_InputSource" description="Connection to the 'Map_InputSource' query in the workbook." type="5" refreshedVersion="0" background="1">
    <dbPr connection="Provider=Microsoft.Mashup.OleDb.1;Data Source=$Workbook$;Location=Map_InputSource;Extended Properties=&quot;&quot;" command="SELECT * FROM [Map_InputSource]"/>
  </connection>
  <connection id="23" xr16:uid="{9C020F5B-74FC-4AB3-A72F-8DD97125F88A}" keepAlive="1" name="Query - Map_InsCode" description="Connection to the 'Map_InsCode' query in the workbook." type="5" refreshedVersion="0" background="1">
    <dbPr connection="Provider=Microsoft.Mashup.OleDb.1;Data Source=$Workbook$;Location=Map_InsCode;Extended Properties=&quot;&quot;" command="SELECT * FROM [Map_InsCode]"/>
  </connection>
  <connection id="24" xr16:uid="{720199D1-8CB4-40D8-AB30-C3F9D6C8DBE4}" keepAlive="1" name="Query - Map_LE" description="Connection to the 'Map_LE' query in the workbook." type="5" refreshedVersion="0" background="1">
    <dbPr connection="Provider=Microsoft.Mashup.OleDb.1;Data Source=$Workbook$;Location=Map_LE;Extended Properties=&quot;&quot;" command="SELECT * FROM [Map_LE]"/>
  </connection>
  <connection id="25" xr16:uid="{3BF8F8A2-C522-4787-9B9C-C45E3B718D2B}" keepAlive="1" name="Query - Map_ProdType" description="Connection to the 'Map_ProdType' query in the workbook." type="5" refreshedVersion="0" background="1">
    <dbPr connection="Provider=Microsoft.Mashup.OleDb.1;Data Source=$Workbook$;Location=Map_ProdType;Extended Properties=&quot;&quot;" command="SELECT * FROM [Map_ProdType]"/>
  </connection>
  <connection id="26" xr16:uid="{8936AA0A-5B97-47D8-8793-583DF093AD62}" keepAlive="1" name="Query - Map_Product" description="Connection to the 'Map_Product' query in the workbook." type="5" refreshedVersion="0" background="1">
    <dbPr connection="Provider=Microsoft.Mashup.OleDb.1;Data Source=$Workbook$;Location=Map_Product;Extended Properties=&quot;&quot;" command="SELECT * FROM [Map_Product]"/>
  </connection>
  <connection id="27" xr16:uid="{E69D6A12-156C-4059-8DB3-68BD586E015E}" keepAlive="1" name="Query - Map_RBC_LR025" description="Connection to the 'Map_RBC_LR025' query in the workbook." type="5" refreshedVersion="0" background="1">
    <dbPr connection="Provider=Microsoft.Mashup.OleDb.1;Data Source=$Workbook$;Location=Map_RBC_LR025;Extended Properties=&quot;&quot;" command="SELECT * FROM [Map_RBC_LR025]"/>
  </connection>
  <connection id="28" xr16:uid="{299A131B-DA3B-4FBC-A7AA-727B9ABBB352}" keepAlive="1" name="Query - Map_Reported" description="Connection to the 'Map_Reported' query in the workbook." type="5" refreshedVersion="0" background="1">
    <dbPr connection="Provider=Microsoft.Mashup.OleDb.1;Data Source=$Workbook$;Location=Map_Reported;Extended Properties=&quot;&quot;" command="SELECT * FROM [Map_Reported]"/>
  </connection>
  <connection id="29" xr16:uid="{A3EE9CDF-7B77-437F-964E-E5A479AF3606}" keepAlive="1" name="Query - Map_Segment" description="Connection to the 'Map_Segment' query in the workbook." type="5" refreshedVersion="0" background="1">
    <dbPr connection="Provider=Microsoft.Mashup.OleDb.1;Data Source=$Workbook$;Location=Map_Segment;Extended Properties=&quot;&quot;" command="SELECT * FROM [Map_Segment]"/>
  </connection>
  <connection id="30" xr16:uid="{98291F85-541F-4C25-B2C2-5734DBFA6261}" keepAlive="1" name="Query - Map_Source_Balance" description="Connection to the 'Map_Source_Balance' query in the workbook." type="5" refreshedVersion="0" background="1">
    <dbPr connection="Provider=Microsoft.Mashup.OleDb.1;Data Source=$Workbook$;Location=Map_Source_Balance;Extended Properties=&quot;&quot;" command="SELECT * FROM [Map_Source_Balance]"/>
  </connection>
  <connection id="31" xr16:uid="{01719379-8D01-43D2-83E5-AC110CC372ED}" keepAlive="1" name="Query - Map_Source_Chg_In_Balance" description="Connection to the 'Map_Source_Chg_In_Balance' query in the workbook." type="5" refreshedVersion="0" background="1">
    <dbPr connection="Provider=Microsoft.Mashup.OleDb.1;Data Source=$Workbook$;Location=Map_Source_Chg_In_Balance;Extended Properties=&quot;&quot;" command="SELECT * FROM [Map_Source_Chg_In_Balance]"/>
  </connection>
  <connection id="32" xr16:uid="{D7B1DF6F-8427-448B-8EDA-7E2936C0D93A}" keepAlive="1" name="Query - Map_SubDeal" description="Connection to the 'Map_SubDeal' query in the workbook." type="5" refreshedVersion="0" background="1">
    <dbPr connection="Provider=Microsoft.Mashup.OleDb.1;Data Source=$Workbook$;Location=Map_SubDeal;Extended Properties=&quot;&quot;" command="SELECT * FROM [Map_SubDeal]"/>
  </connection>
  <connection id="33" xr16:uid="{3C2B8B2A-9EF9-491C-8C0B-C6859C3389AD}" keepAlive="1" name="Query - Master Table Listing" description="Connection to the 'Master Table Listing' query in the workbook." type="5" refreshedVersion="0" background="1">
    <dbPr connection="Provider=Microsoft.Mashup.OleDb.1;Data Source=$Workbook$;Location=&quot;Master Table Listing&quot;;Extended Properties=&quot;&quot;" command="SELECT * FROM [Master Table Listing]"/>
  </connection>
  <connection id="34" xr16:uid="{6E4345FE-E0F1-432E-A4EB-3E6C706AC9D0}" keepAlive="1" name="Query - Process_ComboExcld_Balance_BS" description="Connection to the 'Process_ComboExcld_Balance_BS' query in the workbook." type="5" refreshedVersion="0" background="1">
    <dbPr connection="Provider=Microsoft.Mashup.OleDb.1;Data Source=$Workbook$;Location=Process_ComboExcld_Balance_BS;Extended Properties=&quot;&quot;" command="SELECT * FROM [Process_ComboExcld_Balance_BS]"/>
  </connection>
  <connection id="35" xr16:uid="{6D445024-6BBB-4249-B88B-14010D1445F0}" keepAlive="1" name="Query - Process_ComboExcld_Balance_IS" description="Connection to the 'Process_ComboExcld_Balance_IS' query in the workbook." type="5" refreshedVersion="0" background="1">
    <dbPr connection="Provider=Microsoft.Mashup.OleDb.1;Data Source=$Workbook$;Location=Process_ComboExcld_Balance_IS;Extended Properties=&quot;&quot;" command="SELECT * FROM [Process_ComboExcld_Balance_IS]"/>
  </connection>
  <connection id="36" xr16:uid="{A69DD089-190A-4554-AA81-E17C45E376B0}" keepAlive="1" name="Query - Process_ComboExcld_Custom_BS" description="Connection to the 'Process_ComboExcld_Custom_BS' query in the workbook." type="5" refreshedVersion="0" background="1">
    <dbPr connection="Provider=Microsoft.Mashup.OleDb.1;Data Source=$Workbook$;Location=Process_ComboExcld_Custom_BS;Extended Properties=&quot;&quot;" command="SELECT * FROM [Process_ComboExcld_Custom_BS]"/>
  </connection>
  <connection id="37" xr16:uid="{810EE364-5C05-4BC9-BEB2-D9121D6E956F}" keepAlive="1" name="Query - Process_ComboExcld_Custom_IS" description="Connection to the 'Process_ComboExcld_Custom_IS' query in the workbook." type="5" refreshedVersion="0" background="1">
    <dbPr connection="Provider=Microsoft.Mashup.OleDb.1;Data Source=$Workbook$;Location=Process_ComboExcld_Custom_IS;Extended Properties=&quot;&quot;" command="SELECT * FROM [Process_ComboExcld_Custom_IS]"/>
  </connection>
  <connection id="38" xr16:uid="{686CD1E9-BE60-455D-8543-21CA35429939}" keepAlive="1" name="Query - Process_ComboExcld_SubDeal_BS" description="Connection to the 'Process_ComboExcld_SubDeal_BS' query in the workbook." type="5" refreshedVersion="0" background="1">
    <dbPr connection="Provider=Microsoft.Mashup.OleDb.1;Data Source=$Workbook$;Location=Process_ComboExcld_SubDeal_BS;Extended Properties=&quot;&quot;" command="SELECT * FROM [Process_ComboExcld_SubDeal_BS]"/>
  </connection>
  <connection id="39" xr16:uid="{8CD1788A-0172-4E72-88A4-C83FA33360E4}" keepAlive="1" name="Query - Process_ComboExcld_SubDeal_IS" description="Connection to the 'Process_ComboExcld_SubDeal_IS' query in the workbook." type="5" refreshedVersion="0" background="1">
    <dbPr connection="Provider=Microsoft.Mashup.OleDb.1;Data Source=$Workbook$;Location=Process_ComboExcld_SubDeal_IS;Extended Properties=&quot;&quot;" command="SELECT * FROM [Process_ComboExcld_SubDeal_IS]"/>
  </connection>
  <connection id="40" xr16:uid="{F7AC185C-B178-496B-9968-3929FEABE358}" keepAlive="1" name="Query - Process_Custom_BS" description="Connection to the 'Process_Custom_BS' query in the workbook." type="5" refreshedVersion="0" background="1">
    <dbPr connection="Provider=Microsoft.Mashup.OleDb.1;Data Source=$Workbook$;Location=Process_Custom_BS;Extended Properties=&quot;&quot;" command="SELECT * FROM [Process_Custom_BS]"/>
  </connection>
  <connection id="41" xr16:uid="{1037AE48-2299-4600-9C8B-C8C2500461DC}" keepAlive="1" name="Query - Process_Custom_IS" description="Connection to the 'Process_Custom_IS' query in the workbook." type="5" refreshedVersion="0" background="1">
    <dbPr connection="Provider=Microsoft.Mashup.OleDb.1;Data Source=$Workbook$;Location=Process_Custom_IS;Extended Properties=&quot;&quot;" command="SELECT * FROM [Process_Custom_IS]"/>
  </connection>
  <connection id="42" xr16:uid="{7B950895-4FB8-4343-AA45-FF06E42C0771}" keepAlive="1" name="Query - Process_Topsides_SchRunoff" description="Connection to the 'Process_Topsides_SchRunoff' query in the workbook." type="5" refreshedVersion="0" background="1">
    <dbPr connection="Provider=Microsoft.Mashup.OleDb.1;Data Source=$Workbook$;Location=Process_Topsides_SchRunoff;Extended Properties=&quot;&quot;" command="SELECT * FROM [Process_Topsides_SchRunoff]"/>
  </connection>
  <connection id="43" xr16:uid="{D89C9560-43BD-4598-9EEE-EF12DF1C8198}" keepAlive="1" name="Query - Summary_Val_Acct_BS" description="Connection to the 'Summary_Val_Acct_BS' query in the workbook." type="5" refreshedVersion="0" background="1">
    <dbPr connection="Provider=Microsoft.Mashup.OleDb.1;Data Source=$Workbook$;Location=Summary_Val_Acct_BS;Extended Properties=&quot;&quot;" command="SELECT * FROM [Summary_Val_Acct_BS]"/>
  </connection>
  <connection id="44" xr16:uid="{C8C04C3B-8DB7-47D5-998D-F3D395DCE74F}" keepAlive="1" name="Query - Summary_Val_Acct_BS_Example" description="Connection to the 'Summary_Val_Acct_BS_Example' query in the workbook." type="5" refreshedVersion="0" background="1">
    <dbPr connection="Provider=Microsoft.Mashup.OleDb.1;Data Source=$Workbook$;Location=Summary_Val_Acct_BS_Example;Extended Properties=&quot;&quot;" command="SELECT * FROM [Summary_Val_Acct_BS_Example]"/>
  </connection>
  <connection id="45" xr16:uid="{A54F3E54-E8B3-45D2-B4EA-5E597590008B}" keepAlive="1" name="Query - Summary_Val_Acct_IS" description="Connection to the 'Summary_Val_Acct_IS' query in the workbook." type="5" refreshedVersion="0" background="1">
    <dbPr connection="Provider=Microsoft.Mashup.OleDb.1;Data Source=$Workbook$;Location=Summary_Val_Acct_IS;Extended Properties=&quot;&quot;" command="SELECT * FROM [Summary_Val_Acct_I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<sst xmlns="http://schemas.openxmlformats.org/spreadsheetml/2006/main" count="3340" uniqueCount="793">
  <si>
    <t>Worksheets</t>
  </si>
  <si>
    <t>Order</t>
  </si>
  <si>
    <t>Display Name</t>
  </si>
  <si>
    <t>Code Name</t>
  </si>
  <si>
    <t>Tab Color</t>
  </si>
  <si>
    <t>Description</t>
  </si>
  <si>
    <t>Input</t>
  </si>
  <si>
    <t>Index</t>
  </si>
  <si>
    <t>Changelog</t>
  </si>
  <si>
    <t>Notes</t>
  </si>
  <si>
    <t>Metadata</t>
  </si>
  <si>
    <t>Data Dictionary</t>
  </si>
  <si>
    <t>Map Tables -&gt;</t>
  </si>
  <si>
    <t>Map_Block</t>
  </si>
  <si>
    <t>Map_Balance_BS</t>
  </si>
  <si>
    <t>Map_SubDeal</t>
  </si>
  <si>
    <t>Map_FinReins</t>
  </si>
  <si>
    <t>Map_Source_Balance</t>
  </si>
  <si>
    <t>Map_Source_Chg_In_Balance</t>
  </si>
  <si>
    <t>Map_InputSource</t>
  </si>
  <si>
    <t>Map_Company</t>
  </si>
  <si>
    <t>Map_LE</t>
  </si>
  <si>
    <t>Map_Product</t>
  </si>
  <si>
    <t>Map_ProdType</t>
  </si>
  <si>
    <t>Map_InsCode</t>
  </si>
  <si>
    <t>Map_Segment</t>
  </si>
  <si>
    <t>Map_EntryType</t>
  </si>
  <si>
    <t>Base Tables -&gt;</t>
  </si>
  <si>
    <t>Base_SummaryCombos_BS</t>
  </si>
  <si>
    <t>Base_SummaryCombos_IS</t>
  </si>
  <si>
    <t>Map_Balance_IS</t>
  </si>
  <si>
    <t>JobId</t>
  </si>
  <si>
    <t>CatalogDataBaseName</t>
  </si>
  <si>
    <t>CatalogTableName</t>
  </si>
  <si>
    <t>CreateCatalog</t>
  </si>
  <si>
    <t>Delimiter</t>
  </si>
  <si>
    <t>DestinationS3Path</t>
  </si>
  <si>
    <t>file</t>
  </si>
  <si>
    <t>FileType</t>
  </si>
  <si>
    <t>InputCatalogDBName</t>
  </si>
  <si>
    <t>InputCatalogPartitionKeys</t>
  </si>
  <si>
    <t>InputCatalogTableName</t>
  </si>
  <si>
    <t>InputPath</t>
  </si>
  <si>
    <t>MaxErrors</t>
  </si>
  <si>
    <t>MaxWarnings</t>
  </si>
  <si>
    <t>OutputFileType</t>
  </si>
  <si>
    <t>PartitionKeys</t>
  </si>
  <si>
    <t>RerunFlag</t>
  </si>
  <si>
    <t>S3InputBucketName</t>
  </si>
  <si>
    <t>S3OutputBucketName</t>
  </si>
  <si>
    <t>SchedulingJobDependencies</t>
  </si>
  <si>
    <t>skipAddAuditingAttributes</t>
  </si>
  <si>
    <t>SkipLinesStartsWith</t>
  </si>
  <si>
    <t>SourceSystemName</t>
  </si>
  <si>
    <t>SourceTableName</t>
  </si>
  <si>
    <t>SuccessFileRequired</t>
  </si>
  <si>
    <t>SuccessorJobId</t>
  </si>
  <si>
    <t>TransformationQuery</t>
  </si>
  <si>
    <t>TransformationTableName</t>
  </si>
  <si>
    <t>DL-ACT-PRO-ACTVAL-Base_BS_Topsides_SchRunOff-EBER</t>
  </si>
  <si>
    <t>gluedb_actuarial_prophet_lake_e_inputdb</t>
  </si>
  <si>
    <t>lake_actval_base_bs_topsides_schrunoff_recproc</t>
  </si>
  <si>
    <t>Y</t>
  </si>
  <si>
    <t/>
  </si>
  <si>
    <t>/actval/recproc/Base_BS_Topsides_SchRunOff/*/Base_BS_Topsides_SchRunOff/</t>
  </si>
  <si>
    <t>Base_BS_Topsides_SchRunOff</t>
  </si>
  <si>
    <t>parquet</t>
  </si>
  <si>
    <t>QuarterlyBatchId</t>
  </si>
  <si>
    <t>lake_actval_base_bs_topsides_schrunoff_base</t>
  </si>
  <si>
    <t>/actval/base/Base_BS_Topsides_SchRunOff/*/</t>
  </si>
  <si>
    <t>rlus-ue1-dev-actuarial-prophet-lake-e-bucket</t>
  </si>
  <si>
    <t>ACTVAL</t>
  </si>
  <si>
    <t>SOURCE</t>
  </si>
  <si>
    <t>DL-ACT-PRO-ACTVAL-Input_BS_Topsides_SchRunOff_Filtered-ERER</t>
  </si>
  <si>
    <t>"SELECT DISTINCT \n    CAST(\n        src.val_date AS DATE\n    ) AS val_date, \n    src.val_qtr, \n    CAST(\n        src.topside_id AS INTEGER\n    ) AS topside_id, \n    src.valuation_block,\n    src.balance, \n    src.input_source,\n    src.input_source_description,\n    src.input_source_metadata,\n    CAST(\n        src.runoff_start_date AS DATE\n    ) AS runoff_start_date,\n    CAST(\n        src.runoff_quarters AS INTEGER\n    ) AS runoff_quarters, \n    CAST(\n        src.runoff_finish_date AS DATE\n    ) AS runoff_finish_date, \n    src.quarter_type,\n    CAST(\n        src.runoff_pattern AS INTEGER\n    ) AS runoff_pattern,\n    CAST(\n        src.rlus_gaap_balance AS DECIMAL(38,2)\n    ) AS rlus_gaap_balance,\n    CAST(\n        src.tpa_gaap_balance AS DECIMAL(38, 2)\n    ) AS tpa_gaap_balance, \n    CAST(\n        src.stat_balance AS DECIMAL(38, 2)\n    ) AS stat_balance, \n    CAST(\n        src.tax_balance AS DECIMAL(38, 2)\n    ) AS tax_balance, \n    CAST(\n        src.ny_basis_stat_balance AS DECIMAL(38, 2)\n    ) AS ny_basis_stat_balance, \n    CAST(\n        src.economic_balance AS DECIMAL(38, 2)\n    ) AS economic_balance, \n    CAST(\n        src.bma_balance AS DECIMAL(38, 2)\n    ) AS bma_balance, \n    CAST(\n        src.ics_balance AS DECIMAL(38, 2)\n    ) AS ics_balance, \n    CAST(\n        src.ifrs_balance AS DECIMAL(38, 2)\n    ) AS ifrs_balance \nFROM \n  SOURCE src\n"</t>
  </si>
  <si>
    <t>TRANSFORMED</t>
  </si>
  <si>
    <t>DL-ACT-PRO-ACTVAL-Base_BS_Topsides_SchRunOff-ELEB</t>
  </si>
  <si>
    <t>","</t>
  </si>
  <si>
    <t>/actval/base/Base_BS_Topsides_SchRunOff/*/Base_BS_Topsides_SchRunOff/</t>
  </si>
  <si>
    <t>csv</t>
  </si>
  <si>
    <t>/actval/landing/Base_BS_Topsides_SchRunOff/*/Base_BS_Topsides_SchRunOff.csv</t>
  </si>
  <si>
    <t>Select src.* FROM SOURCE src</t>
  </si>
  <si>
    <t>DL-ACT-PRO-ACTVAL-Current_BS_Topsides_Merged-EREJ</t>
  </si>
  <si>
    <t>lake_actval_current_bs_topsides_merged_join</t>
  </si>
  <si>
    <t>/actval/join/Current_BS_Topsides_Merged/*/</t>
  </si>
  <si>
    <t>Current_BS_Topsides_Merged</t>
  </si>
  <si>
    <t>catalog</t>
  </si>
  <si>
    <t>QuarterlyBatchId|QuarterlyBatchId|QuarterlyBatchId</t>
  </si>
  <si>
    <t>lake_actval_input_bs_topsides_schrunoff_filtered_recproc|lake_actval_input_bs_topsides_qtrlag_recproc|lake_actval_input_bs_topsides_othr_recproc</t>
  </si>
  <si>
    <t>actval/recproc/Input_BS_Topsides_SchRunOff_Filtered|actval/recproc/Input_BS_Topsides_QtrLag|actval/recproc/Input_BS_Topsides_Othr</t>
  </si>
  <si>
    <t>SCHRUNOFFTBL|QTRLAGTBL|OTHERTBL</t>
  </si>
  <si>
    <t>DL-ACT-PRO-ACTVAL-Summary_BS_Topsides_Merged-EJEJ</t>
  </si>
  <si>
    <t>"WITH qtrlag AS ( SELECT qtr.val_date, qtr.valuation_block, qtr.balance, qtr.input_source, qtr.input_source_description, qtr.input_source_metadata, 'Quarter Lag' AS topsides_approach, qtr.policy_count, qtr.base_policy_db, qtr.rider_db, qtr.adb_db, qtr.source_policy_count, qtr.source_base_policy_db, qtr.source_rider_db, qtr.source_adb_db, qtr.ga_av, qtr.sa_av, qtr.ga_cv, qtr.sa_cv, qtr.shadow_av, qtr.indexed_av, qtr.fixed_av, qtr.excess_min_prem_1, qtr.excess_min_prem_2, qtr.excess_min_prem_3, qtr.loan_value, qtr.loan_unearned_int, qtr.rlus_gaap_balance, qtr.tpa_gaap_balance, qtr.stat_balance, qtr.tax_balance, qtr.ny_basis_stat_balance, qtr.economic_balance, qtr.bma_balance, qtr.ics_balance, qtr.ifrs_balance FROM QTRLAGTBL qtr ), schrunoff AS ( SELECT sch.val_date, sch.valuation_block, sch.balance, sch.input_source, sch.input_source_description, sch.input_source_metadata, 'Scheduled RunOff' AS topsides_approach, sch.policy_count, sch.base_policy_db, sch.rider_db, sch.adb_db, sch.source_policy_count, sch.source_base_policy_db, sch.source_rider_db, sch.source_adb_db, sch.ga_av, sch.sa_av, sch.ga_cv, sch.sa_cv, sch.shadow_av, sch.indexed_av, sch.fixed_av, sch.excess_min_prem_1, sch.excess_min_prem_2, sch.excess_min_prem_3, sch.loan_value, sch.loan_unearned_int, sch.rlus_gaap_balance, sch.tpa_gaap_balance, sch.stat_balance, sch.tax_balance, sch.ny_basis_stat_balance, sch.economic_balance, sch.bma_balance, sch.ics_balance, sch.ifrs_balance FROM SCHRUNOFFTBL sch ), other AS ( SELECT othr.val_date, othr.valuation_block, othr.balance, othr.input_source, othr.input_source_description, othr.input_source_metadata, 'Other' AS topsides_approach, othr.policy_count, othr.base_policy_db, othr.rider_db, othr.adb_db, othr.source_policy_count, othr.source_base_policy_db, othr.source_rider_db, othr.source_adb_db, othr.ga_av, othr.sa_av, othr.ga_cv, othr.sa_cv, othr.shadow_av, othr.indexed_av, othr.fixed_av, othr.excess_min_prem_1, othr.excess_min_prem_2, othr.excess_min_prem_3, othr.loan_value, othr.loan_unearned_int, othr.rlus_gaap_balance, othr.tpa_gaap_balance, othr.stat_balance, othr.tax_balance, othr.ny_basis_stat_balance, othr.economic_balance, othr.bma_balance, othr.ics_balance, othr.ifrs_balance FROM OTHERTBL othr ), merged AS ( SELECT * FROM qtrlag UNION ALL SELECT * FROM other UNION ALL SELECT * FROM schrunoff ) SELECT DISTINCT merged.val_date, merged.valuation_block, merged.balance, merged.input_source, merged.input_source_description, merged.input_source_metadata, merged.topsides_approach, SUM(merged.policy_count) AS policy_count, SUM(merged.base_policy_db) AS base_policy_db, SUM(merged.rider_db) AS rider_db, SUM(merged.adb_db) AS adb_db, SUM(merged.source_policy_count) AS source_policy_count, SUM(merged.source_base_policy_db) AS source_base_policy_db, SUM(merged.source_rider_db) AS source_rider_db, SUM(merged.source_adb_db) AS source_adb_db, SUM(merged.ga_av) AS ga_av, SUM(merged.sa_av) AS sa_av, SUM(merged.ga_cv) AS ga_cv, SUM(merged.sa_cv) AS sa_cv, SUM(merged.shadow_av) AS shadow_av, SUM(merged.indexed_av) AS indexed_av, SUM(merged.fixed_av) AS fixed_av, SUM(merged.excess_min_prem_1) AS excess_min_prem_1, SUM(merged.excess_min_prem_2) AS excess_min_prem_2, SUM(merged.excess_min_prem_3) AS excess_min_prem_3, SUM(merged.loan_value) AS loan_value, SUM(merged.loan_unearned_int) AS loan_unearned_int, SUM(merged.rlus_gaap_balance) AS rlus_gaap_balance, SUM(merged.tpa_gaap_balance) AS tpa_gaap_balance, SUM(merged.stat_balance) AS stat_balance, SUM(merged.tax_balance) AS tax_balance, SUM(merged.ny_basis_stat_balance) AS ny_basis_stat_balance, SUM(merged.economic_balance) AS economic_balance, SUM(merged.bma_balance) AS bma_balance, SUM(merged.ics_balance) AS ics_balance, SUM(merged.ifrs_balance) AS ifrs_balance FROM merged GROUP BY merged.val_date, merged.valuation_block, merged.balance, merged.input_source, merged.input_source_description, merged.input_source_metadata, merged.topsides_approach ORDER BY merged.val_date, merged.topsides_approach, merged.valuation_block, merged.balance\n"</t>
  </si>
  <si>
    <t>DL-ACT-PRO-ACTVAL-Current_BS_Topsides_QtrLag_AvE-EJCC</t>
  </si>
  <si>
    <t>gluedb_actuarial_prophet_lake_c_inputdb</t>
  </si>
  <si>
    <t>lake_actval_current_bs_topsides_qtrlag_ave_current</t>
  </si>
  <si>
    <t>/actval/current/Current_BS_Topsides_QtrLag_AvE/*/Current_BS_Topsides_QtrLag_AvE/</t>
  </si>
  <si>
    <t>Current_BS_Topsides_QtrLag_AvE/</t>
  </si>
  <si>
    <t>lake_actval_current_bs_topsides_qtrlag_ave_join</t>
  </si>
  <si>
    <t>/actval/join/Current_BS_Topsides_QtrLag_AvE/</t>
  </si>
  <si>
    <t>rlus-ue1-dev-actuarial-prophet-lake-c-bucket</t>
  </si>
  <si>
    <t>SELECT src.* FROM SOURCE src</t>
  </si>
  <si>
    <t>DL-ACT-PRO-ACTVAL-Current_BS_Topsides_QtrLag_AvE-EREJ</t>
  </si>
  <si>
    <t>/actval/join/Current_BS_Topsides_QtrLag_AvE/*/Current_BS_Topsides_QtrLag_AvE/</t>
  </si>
  <si>
    <t>Current_BS_Topsides_QtrLag_AvE</t>
  </si>
  <si>
    <t>QuarterlyBatchId|QuarterlyBatchId</t>
  </si>
  <si>
    <t>lake_actval_input_bs_topsides_qtrlag_recproc|lake_actval_input_bs_topsides_qtrlag_actuals_recproc</t>
  </si>
  <si>
    <t>actval/recproc/Input_BS_Topsides_QtrLag/|actval/recproc/Input_BS_Topsides_QtrLag_Actuals/</t>
  </si>
  <si>
    <t>QTRLAG|QTRLAGACTUALS</t>
  </si>
  <si>
    <t>"SELECT\n  qtr.val_date, \n  qtr.valuation_block, \n  qtr.balance, \n  qtr.input_source_description AS tpa, \n  qtr.input_source_metadata,\n  qtra.input_source_metadata AS input_source_metadata_actuals,  \n  qtr.policy_count, \n  qtra.policy_count AS policy_count_actual, \n  qtra.policy_count - qtr.policy_count AS policy_count_diff, \n  qtr.base_policy_db, \n  qtra.base_policy_db AS base_policy_db_actual, \n  qtra.base_policy_db - qtr.base_policy_db AS base_policy_db_diff, \n  qtr.rider_db, \n  qtra.rider_db AS rider_db_actual, \n  qtra.rider_db - qtr.rider_db AS rider_db_diff, \n  qtr.adb_db, \n  qtra.adb_db AS adb_db_actual, \n  qtra.adb_db - qtr.adb_db AS adb_db_diff, \n  qtr.source_policy_count, \n  qtra.source_policy_count AS source_policy_count_actual, \n  qtra.source_policy_count - qtr.source_policy_count AS source_policy_count_diff, \n  qtr.source_base_policy_db, \n  qtra.source_base_policy_db AS source_base_policy_db_actual, \n  qtra.source_base_policy_db - qtr.source_base_policy_db AS source_base_policy_db_diff, \n  qtr.source_rider_db, \n  qtra.source_rider_db AS source_rider_db_actual, \n  qtra.source_rider_db - qtr.source_rider_db AS source_rider_db_diff, \n  qtr.source_adb_db, \n  qtra.source_adb_db AS source_adb_db_actual, \n  qtra.source_adb_db - qtr.source_adb_db AS source_adb_db_diff, \n  qtr.ga_av, \n  qtra.ga_av AS ga_av_actual, \n  qtra.ga_av - qtr.ga_av AS ga_av_diff, \n  qtr.sa_av, \n  qtra.sa_av AS sa_av_actual, \n  qtra.sa_av - qtr.sa_av AS sa_av_diff, \n  qtr.ga_cv, \n  qtra.ga_cv AS ga_cv_actual, \n  qtra.ga_cv - qtr.ga_cv AS ga_cv_diff, \n  qtr.sa_cv, \n  qtra.sa_cv AS sa_cv_actual, \n  qtra.sa_cv - qtr.sa_cv AS sa_cv_diff, \n  qtr.shadow_av,\n  qtra.shadow_av AS shadow_av_actual, \n  qtra.shadow_av - qtr.shadow_av AS shadow_av_diff, \n  qtr.indexed_av,\n  qtra.indexed_av AS indexed_av_actual, \n  qtra.indexed_av - qtr.indexed_av AS indexed_av_diff,\n  qtr.fixed_av, \n  qtra.fixed_av AS fixed_av_actual, \n  qtra.fixed_av - qtr.fixed_av AS fixed_av_diff, \n  qtr.excess_min_prem_1, \n  qtra.excess_min_prem_1 AS excess_min_prem_1_actual, \n  qtra.excess_min_prem_1 - qtr.excess_min_prem_1 AS excess_min_prem_1_diff, \n  qtr.excess_min_prem_2, \n  qtra.excess_min_prem_2 AS excess_min_prem_2_actual, \n  qtra.excess_min_prem_2 - qtr.excess_min_prem_2 AS excess_min_prem_2_diff, \n  qtr.excess_min_prem_3, \n  qtra.excess_min_prem_3 AS excess_min_prem_3_actual, \n  qtra.excess_min_prem_3 - qtr.excess_min_prem_3 AS excess_min_prem_3_diff, \n  qtr.loan_value, \n  qtra.loan_value AS loan_value_actual, \n  qtra.loan_value - qtr.loan_value AS loan_value_diff, \n  qtr.loan_unearned_int, \n  qtra.loan_unearned_int AS loan_unearned_int_actual, \n  qtra.loan_unearned_int - qtr.loan_unearned_int AS loan_unearned_int_diff, \n  qtr.rlus_gaap_balance, \n  qtra.rlus_gaap_balance AS rlus_gaap_balance_actual, \n  qtra.rlus_gaap_balance - qtr.rlus_gaap_balance AS gaap_balance_diff, \n  qtr.tpa_gaap_balance, \n  qtra.tpa_gaap_balance AS tpa_gaap_balance_actual, \n  qtra.tpa_gaap_balance - qtr.tpa_gaap_balance AS tpa_gaap_balance_diff, \n  qtr.stat_balance, \n  qtra.stat_balance AS stat_balance_actual, \n  qtra.stat_balance - qtr.stat_balance AS stat_balance_diff, \n  qtr.tax_balance, \n  qtra.tax_balance AS tax_balance_actual, \n  qtra.tax_balance - qtr.tax_balance AS tax_balance_diff, \n  qtr.ny_basis_stat_balance, \n  qtra.ny_basis_stat_balance AS ny_basis_stat_balance_actual, \n  qtra.ny_basis_stat_balance - qtr.ny_basis_stat_balance AS ny_basis_stat_balance_diff, \n  qtr.economic_balance, \n  qtra.economic_balance AS economic_balance_actual, \n  qtra.economic_balance - qtr.economic_balance AS economic_balance_diff, \n  qtr.bma_balance, \n  qtra.bma_balance AS bma_balance_actual, \n  qtra.bma_balance - qtr.bma_balance AS bma_balance_diff,\n  qtr.ics_balance,\n  qtra.ics_balance AS ics_balance_actual,\n  qtra.ics_balance - qtr.ics_balance AS ics_balance_diff,\n  qtr.ifrs_balance,\n  qtra.ifrs_balance AS ifrs_balance_actual,\n  qtra.ifrs_balance - qtr.ifrs_balance AS ifrs_balance_diff   \nFROM \n  QTRLAG qtr, \n  QTRLAGACTUALS qtra \nWHERE \n  qtr.val_date = qtra.val_date \n  AND qtr.valuation_block = qtra.valuation_block \n  AND qtr.balance = qtra.balance\n"</t>
  </si>
  <si>
    <t>DL-ACT-PRO-ACTVAL-Historical_BS_Topsides_Merged-EREJ</t>
  </si>
  <si>
    <t>lake_actval_historical_bs_topsides_merged_join</t>
  </si>
  <si>
    <t>/actval/join/Historical_BS_Topsides_Merged/*/</t>
  </si>
  <si>
    <t>Historical_BS_Topsides_Merged</t>
  </si>
  <si>
    <t>lake_actval_historical_bs_topsides_schrunoff_recproc|lake_actval_historical_bs_topsides_qtrlag_recproc|lake_actval_historical_bs_topsides_othr_recproc</t>
  </si>
  <si>
    <t>actval/recproc/Historical_BS_Topsides_SchRunOff|actval/recproc/Historical_BS_Topsides_QtrLag|actval/recproc/Historical_BS_Topsides_Othr</t>
  </si>
  <si>
    <t>"DL-ACT-PRO-ACTVAL-Historical_BS_Topsides_QtrLag-EBER,DL-ACT-PRO-ACTVAL-Historical_BS_Topsides_SchRunOff-EBER,DL-ACT-PRO-ACTVAL-Historical_BS_Topsides_Othr-EBER"</t>
  </si>
  <si>
    <t>"WITH qtrlag AS (\n  SELECT \n    qtr.val_date, \n    qtr.valuation_block, \n    qtr.balance, \n    qtr.input_source, \n    qtr.input_source_description, \n    qtr.input_source_metadata, \n    'Quarter Lag' AS topside_approach, \n    qtr.policy_count, \n    qtr.base_policy_db, \n    qtr.rider_db, \n    qtr.adb_db, \n    qtr.source_policy_count, \n    qtr.source_base_policy_db, \n    qtr.source_rider_db, \n    qtr.source_adb_db, \n    qtr.ga_av, \n    qtr.sa_av, \n    qtr.ga_cv, \n    qtr.sa_cv, \n    qtr.shadow_av, \n    qtr.indexed_av, \n    qtr.fixed_av, \n    qtr.excess_min_prem_1, \n    qtr.excess_min_prem_2, \n    qtr.excess_min_prem_3, \n    qtr.loan_value, \n    qtr.loan_unearned_int, \n    qtr.rlus_gaap_balance, \n    qtr.tpa_gaap_balance, \n    qtr.stat_balance, \n    qtr.tax_balance, \n    qtr.ny_basis_stat_balance, \n    qtr.economic_balance, \n    qtr.bma_balance, \n    qtr.ics_balance, \n    qtr.ifrs_balance \n  FROM \n    QTRLAGTBL qtr\n), \nschrunoff AS (\n  SELECT \n    sch.val_date, \n    sch.valuation_block, \n    sch.balance, \n    sch.input_source, \n    sch.input_source_description, \n    sch.input_source_metadata, \n    'Scheduled RunOff' AS topside_approach, \n    CAST(\n      '0.00' AS DECIMAL(38, 0)\n    ) AS policy_count, \n    CAST(\n      '0.00' AS DECIMAL(38, 2)\n    ) AS base_policy_db, \n    CAST(\n      '0.00' AS DECIMAL(38, 2)\n    ) AS rider_db, \n    CAST(\n      '0.00' AS DECIMAL(38, 2)\n    ) AS adb_db, \n    CAST(\n      '0.00' AS DECIMAL(38, 0)\n    ) AS source_policy_count, \n    CAST(\n      '0.00' AS DECIMAL(38, 2)\n    ) AS source_base_policy_db, \n    CAST(\n      '0.00' AS DECIMAL(38, 2)\n    ) AS source_rider_db, \n    CAST(\n      '0.00' AS DECIMAL(38, 2)\n    ) AS source_adb_db, \n    CAST(\n      '0.00' AS DECIMAL(38, 2)\n    ) AS ga_av, \n    CAST(\n      '0.00' AS DECIMAL(38, 2)\n    ) AS sa_av, \n    CAST(\n      '0.00' AS DECIMAL(38, 2)\n    ) AS ga_cv, \n    CAST(\n      '0.00' AS DECIMAL(38, 2)\n    ) AS sa_cv, \n    CAST(\n      '0.00' AS DECIMAL(38, 2)\n    ) AS shadow_av, \n    CAST(\n      '0.00' AS DECIMAL(38, 2)\n    ) AS indexed_av, \n    CAST(\n      '0.00' AS DECIMAL(38, 2)\n    ) AS fixed_av, \n    CAST(\n      '0.00' AS DECIMAL(38, 2)\n    ) AS excess_min_prem_1, \n    CAST(\n      '0.00' AS DECIMAL(38, 2)\n    ) AS excess_min_prem_2, \n    CAST(\n      '0.00' AS DECIMAL(38, 2)\n    ) AS excess_min_prem_3, \n    CAST(\n      '0.00' AS DECIMAL(38, 2)\n    ) AS loan_value, \n    CAST(\n      '0.00' AS DECIMAL(38, 2)\n    ) AS loan_unearned_int, \n    sch.rlus_gaap_balance, \n    sch.tpa_gaap_balance, \n    sch.stat_balance, \n    sch.tax_balance, \n    sch.ny_basis_stat_balance, \n    sch.economic_balance, \n    sch.bma_balance, \n    sch.ics_balance, \n    sch.ifrs_balance \n  FROM \n    SCHRUNOFFTBL sch\n  WHERE \n    sch.val_date IN (\n      SELECT \n        DISTINCT q.val_date val_date \n      FROM \n        qtrlag q\n    )\n), \nother AS (\n  SELECT \n    othr.val_date, \n    othr.valuation_block, \n    othr.balance, \n    othr.input_source, \n    othr.input_source_description, \n    othr.input_source_metadata, \n    'Other' AS topside_approach, \n    othr.policy_count, \n    othr.base_policy_db, \n    othr.rider_db, \n    othr.adb_db, \n    othr.source_policy_count, \n    othr.source_base_policy_db, \n    othr.source_rider_db, \n    othr.source_adb_db, \n    othr.ga_av, \n    othr.sa_av, \n    othr.ga_cv, \n    othr.sa_cv, \n    othr.shadow_av, \n    othr.indexed_av, \n    othr.fixed_av, \n    othr.excess_min_prem_1, \n    othr.excess_min_prem_2, \n    othr.excess_min_prem_3, \n    othr.loan_value, \n    othr.loan_unearned_int, \n    othr.rlus_gaap_balance, \n    othr.tpa_gaap_balance, \n    othr.stat_balance, \n    othr.tax_balance, \n    othr.ny_basis_stat_balance, \n    othr.economic_balance, \n    othr.bma_balance, \n    othr.ics_balance, \n    othr.ifrs_balance \n  FROM \n    OTHERTBL othr \n), \nmerged AS (\n  SELECT \n    * \n  FROM \n    qtrlag \n  UNION ALL \n  SELECT \n    * \n  FROM \n    other \n  UNION ALL \n  SELECT \n    * \n  FROM \n    schrunoff\n) \nSELECT \n  DISTINCT \n  merged.val_date, \n  merged.valuation_block, \n  merged.balance, \n  merged.input_source, \n  merged.input_source_description, \n  merged.input_source_metadata, \n  merged.topside_approach, \n  SUM(merged.policy_count) AS policy_count, \n  SUM(merged.base_policy_db) AS base_policy_db, \n  SUM(merged.rider_db) AS rider_db, \n  SUM(merged.adb_db) AS adb_db, \n  SUM(merged.source_policy_count) AS source_policy_count, \n  SUM(merged.source_base_policy_db) AS source_base_policy_db, \n  SUM(merged.source_rider_db) AS source_rider_db, \n  SUM(merged.source_adb_db) AS source_adb_db, \n  SUM(merged.ga_av) AS ga_av, \n  SUM(merged.sa_av) AS sa_av, \n  SUM(merged.ga_cv) AS ga_cv, \n  SUM(merged.sa_cv) AS sa_cv, \n  SUM(merged.shadow_av) AS shadow_av, \n  SUM(merged.indexed_av) AS indexed_av, \n  SUM(merged.fixed_av) AS fixed_av, \n  SUM(merged.excess_min_prem_1) AS excess_min_prem_1, \n  SUM(merged.excess_min_prem_2) AS excess_min_prem_2, \n  SUM(merged.excess_min_prem_3) AS excess_min_prem_3, \n  SUM(merged.loan_value) AS loan_value, \n  SUM(merged.loan_unearned_int) AS loan_unearned_int, \n  SUM(merged.rlus_gaap_balance) AS rlus_gaap_balance, \n  SUM(merged.tpa_gaap_balance) AS tpa_gaap_balance, \n  SUM(merged.stat_balance) AS stat_balance, \n  SUM(merged.tax_balance) AS tax_balance, \n  SUM(merged.ny_basis_stat_balance) AS ny_basis_stat_balance, \n  SUM(merged.economic_balance) AS economic_balance, \n  SUM(merged.bma_balance) AS bma_balance, \n  SUM(merged.ics_balance) AS ics_balance, \n  SUM(merged.ifrs_balance) AS ifrs_balance \nFROM \n  merged \nGROUP BY \n  merged.val_date, \n  merged.valuation_block, \n  merged.balance, \n  merged.input_source, \n  merged.input_source_description, \n  merged.input_source_metadata, \n  merged.topside_approach \nORDER BY \n  merged.val_date DESC, \n  merged.topside_approach, \n  merged.valuation_block, \n  merged.balance\n"</t>
  </si>
  <si>
    <t>DL-ACT-PRO-ACTVAL-Historical_BS_Topsides_Othr-EBER</t>
  </si>
  <si>
    <t>lake_actval_historical_bs_topsides_othr_recproc</t>
  </si>
  <si>
    <t>/actval/recproc/Historical_BS_Topsides_Othr/*/</t>
  </si>
  <si>
    <t>Historical_BS_Topsides_Othr</t>
  </si>
  <si>
    <t>lake_actval_historical_bs_topsides_othr_base</t>
  </si>
  <si>
    <t>actval/base/Historical_BS_Topsides_Othr/*/</t>
  </si>
  <si>
    <t>"SELECT DISTINCT \n  CAST(\n    src.val_date AS DATE\n  ) AS val_date, \n  src.valuation_block, \n  src.balance, \n  src.input_source, \n  src.input_source_description,\n  src.input_source_metadata, \n  CAST(\n    src.policy_count AS DECIMAL(38, 0)\n  ) AS policy_count, \n  CAST(\n    src.base_policy_db AS DECIMAL(38, 2)\n  ) AS base_policy_db, \n  CAST(\n    src.rider_db AS DECIMAL(38, 2)\n  ) AS rider_db, \n  CAST(\n    src.adb_db AS DECIMAL(38, 2)\n  ) AS adb_db, \n  CAST(\n    src.source_policy_count AS DECIMAL(38, 0)\n  ) AS source_policy_count, \n  CAST(\n    src.source_base_policy_db AS DECIMAL(38, 2)\n  ) AS source_base_policy_db, \n  CAST(\n    src.source_rider_db AS DECIMAL(38, 2)\n  ) AS source_rider_db, \n  CAST(\n    src.source_adb_db AS DECIMAL(38, 2)\n  ) AS source_adb_db, \n  CAST(\n    src.ga_av AS DECIMAL(38, 2)\n  ) AS ga_av, \n  CAST(\n    src.sa_av AS DECIMAL(38, 2)\n  ) AS sa_av, \n  CAST(\n    src.ga_cv AS DECIMAL(38, 2)\n  ) AS ga_cv, \n  CAST(\n    src.sa_cv AS DECIMAL(38, 2)\n  ) AS sa_cv, \n  CAST(\n    src.shadow_av AS DECIMAL(38, 2)\n  ) AS shadow_av, \n  CAST(\n    src.indexed_av AS DECIMAL(38, 2)\n  ) AS indexed_av, \n  CAST(\n    src.fixed_av AS DECIMAL(38, 2)\n  ) AS fixed_av, \n  CAST(\n    src.excess_min_prem_1 AS DECIMAL(38, 2)\n  ) AS excess_min_prem_1, \n  CAST(\n    src.excess_min_prem_2 AS DECIMAL(38, 2)\n  ) AS excess_min_prem_2, \n  CAST(\n    src.excess_min_prem_3 AS DECIMAL(38, 2)\n  ) AS excess_min_prem_3, \n  CAST(\n    src.loan_value AS DECIMAL(38, 2)\n  ) AS loan_value, \n  CAST(\n    src.loan_unearned_int AS DECIMAL(38, 2)\n  ) AS loan_unearned_int, \n  CAST(\n    src.rlus_gaap_balance AS DECIMAL(38, 2)\n  ) AS rlus_gaap_balance, \n  CAST(\n    src.tpa_gaap_balance AS DECIMAL(38, 2)\n  ) AS tpa_gaap_balance, \n  CAST(\n    src.stat_balance AS DECIMAL(38, 2)\n  ) AS stat_balance, \n  CAST(\n    src.tax_balance AS DECIMAL(38, 2)\n  ) AS tax_balance, \n  CAST(\n    src.ny_basis_stat_balance AS DECIMAL(38, 2)\n  ) AS ny_basis_stat_balance, \n  CAST(\n    src.economic_balance AS DECIMAL(38, 2)\n  ) AS economic_balance, \n  CAST(\n    src.bma_balance AS DECIMAL(38, 2)\n  ) AS bma_balance, \n  CAST(\n    src.ics_balance AS DECIMAL(38, 2)\n  ) AS ics_balance, \n  CAST(\n    src.ifrs_balance AS DECIMAL(38, 2)\n  ) AS ifrs_balance \nFROM \n  SOURCE src"</t>
  </si>
  <si>
    <t>DL-ACT-PRO-ACTVAL-Historical_BS_Topsides_Othr-ELEB</t>
  </si>
  <si>
    <t>/actval/base/Historical_BS_Topsides_Othr/*/Historical_BS_Topsides_Othr/</t>
  </si>
  <si>
    <t>/actval/landing/Historical_BS_Topsides_Othr/*/Historical_BS_Topsides_Othr.csv</t>
  </si>
  <si>
    <t>DL-ACT-PRO-ACTVAL-Historical_BS_Topsides_QtrLag-EBER</t>
  </si>
  <si>
    <t>lake_actval_historical_bs_topsides_qtrlag_recproc</t>
  </si>
  <si>
    <t>/actval/recproc/Historical_BS_Topsides_QtrLag/*/</t>
  </si>
  <si>
    <t>Historical_BS_Topsides_QtrLag</t>
  </si>
  <si>
    <t>lake_actval_historical_bs_topsides_qtrlag_base</t>
  </si>
  <si>
    <t>actval/base/Historical_BS_Topsides_QtrLag/*/</t>
  </si>
  <si>
    <t>DL-ACT-PRO-ACTVAL-Historical_BS_Topsides_QtrLag-ELEB</t>
  </si>
  <si>
    <t>/actval/base/Historical_BS_Topsides_QtrLag/*/Historical_BS_Topsides_QtrLag/</t>
  </si>
  <si>
    <t>/actval/landing/Historical_BS_Topsides_QtrLag/*/Historical_BS_Topsides_QtrLag.csv</t>
  </si>
  <si>
    <t>DL-ACT-PRO-ACTVAL-Historical_BS_Topsides_SchRunOff-EBER</t>
  </si>
  <si>
    <t>lake_actval_historical_bs_topsides_schrunoff_recproc</t>
  </si>
  <si>
    <t>/actval/recproc/Historical_BS_Topsides_SchRunOff/*/</t>
  </si>
  <si>
    <t>Historical_BS_Topsides_SchRunOff</t>
  </si>
  <si>
    <t>lake_actval_historical_bs_topsides_schrunoff_base</t>
  </si>
  <si>
    <t>actval/base/Historical_BS_Topsides_SchRunOff/*/</t>
  </si>
  <si>
    <t>"SELECT DISTINCT \n    CAST(\n        src.val_date AS DATE\n    ) AS val_date, \n    src.val_qtr, \n    CAST(\n        src.topside_id AS INTEGER\n    ) AS topside_id, \n    src.valuation_block,\n    src.balance, \n    src.input_source,\n    src.input_source_description,\n    src.input_source_metadata,\n    CAST(\n        src.runoff_start_date AS DATE\n    ) AS runoff_start_date,\n    CAST(\n        src.runoff_quarters AS INTEGER\n    ) AS runoff_quarters, \n    CAST(\n        src.runoff_finish_date AS DATE\n    ) AS runoff_finish_date, \n    src.quarter_type,\n    CAST(\n        src.runoff_pattern AS INTEGER\n    ) AS runoff_pattern,\n    CAST(\n        src.rlus_gaap_balance AS DECIMAL(38,2)\n    ) AS rlus_gaap_balance,\n    CAST(\n        src.tpa_gaap_balance AS DECIMAL(38, 2)\n    ) AS tpa_gaap_balance, \n    CAST(\n        src.stat_balance AS DECIMAL(38, 2)\n    ) AS stat_balance, \n    CAST(\n        src.tax_balance AS DECIMAL(38, 2)\n    ) AS tax_balance, \n    CAST(\n        src.ny_basis_stat_balance AS DECIMAL(38, 2)\n    ) AS ny_basis_stat_balance, \n    CAST(\n        src.economic_balance AS DECIMAL(38, 2)\n    ) AS economic_balance, \n    CAST(\n        src.bma_balance AS DECIMAL(38, 2)\n    ) AS bma_balance, \n    CAST(\n        src.ics_balance AS DECIMAL(38, 2)\n    ) AS ics_balance, \n    CAST(\n        src.ifrs_balance AS DECIMAL(38, 2)\n    ) AS ifrs_balance \nFROM \n  SOURCE src"</t>
  </si>
  <si>
    <t>DL-ACT-PRO-ACTVAL-Historical_BS_Topsides_SchRunOff-ELEB</t>
  </si>
  <si>
    <t>/actval/base/Historical_BS_Topsides_SchRunOff/*/Historical_BS_Topsides_SchRunOff/</t>
  </si>
  <si>
    <t>/actval/landing/Historical_BS_Topsides_SchRunOff/*/Historical_BS_Topsides_SchRunOff.csv</t>
  </si>
  <si>
    <t>DL-ACT-PRO-ACTVAL-Historical_TopsideMerged-EJCC</t>
  </si>
  <si>
    <t>lake_historical_topsidemerged_current</t>
  </si>
  <si>
    <t>/actval/current/Historical_TopsideMerged/*/Historical_TopsideMerged/</t>
  </si>
  <si>
    <t>Historical_TopsideMerged</t>
  </si>
  <si>
    <t>BatchId</t>
  </si>
  <si>
    <t>lake_actval_historical_topsidemerged_join</t>
  </si>
  <si>
    <t>/actval/join/Historical_TopsideMerged/</t>
  </si>
  <si>
    <t>DL-ACT-PRO-ACTVAL-Historical_TopsideMerged-EREJ</t>
  </si>
  <si>
    <t>/actval/join/Historical_TopsideMerged/*/Historical_TopsideMerged/</t>
  </si>
  <si>
    <t>lake_actval_historical_topsideqtrlag_recproc|lake_actval_historical_topsideschrunoff_recproc</t>
  </si>
  <si>
    <t>/actval/recproc/Historical_TopsideQtrLag|/actval/recproc/Historical_TopsideSchRunOff</t>
  </si>
  <si>
    <t>QTRLAG|SCHRUNOFF</t>
  </si>
  <si>
    <t>"WITH merged AS (\n	SELECT DISTINCT \n		qtr.* \n	FROM QTRLAG qtr \n	\n	UNION \n	\n	SELECT DISTINCT \n		sch.val_date, \n		sch.block_id, \n		sch.balance_id, \n		sch.source_id, \n		sch.valuation_block, \n		sch.balance, \n		'Historical_TopsideSchRunOff' AS input_source, \n		sch.source_detail AS input_source_detail, \n		sch.eol_policy_count, \n		sch.eol_base_policy_db, \n		sch.eol_rider_db, \n		sch.eol_adb_db, \n		sch.source_policy_count, \n		sch.source_base_policy_db, \n		sch.source_rider_db, \n		sch.source_adb_db, \n		sch.ga_av, \n		sch.sa_av, \n		sch.ga_cv, \n		sch.sa_cv, \n		sch.shadow_av_1, \n		sch.shadow_av_2, \n		sch.shadow_av_3, \n		sch.excess_min_prem_1, \n		sch.excess_min_prem_2,\n		sch.excess_min_prem_3,\n		sch.loan_value, \n		sch.loan_unearned_int,\n		sch.gaap_balance,\n		sch.tpa_gaap_balance,\n		sch.stat_balance,\n		sch.tax_balance, \n		sch.ny_basis_stat_balance, \n		sch.economic_balance, \n		sch.bma_balance, \n		sch.monthlybatchid \n	FROM SCHRUNOFF sch\n)\nSELECT \n	* \nFROM merged m \nWHERE m.block_id IS NOT NULL AND \n	m.balance_id IS NOT NULL AND \n	source_id IS NOT NULL \nORDER BY m.source_id, m.val_date\n"</t>
  </si>
  <si>
    <t>DL-ACT-PRO-ACTVAL-Historical_TopsideQtrLag-EBER</t>
  </si>
  <si>
    <t>lake_actval_historical_topsideqtrlag_recproc</t>
  </si>
  <si>
    <t>/actval/recproc/Historical_TopsideQtrLag/*/Historical_TopsideQtrLag/</t>
  </si>
  <si>
    <t>Historical_TopsideQtrLag</t>
  </si>
  <si>
    <t>lake_actval_historical_topsideqtrlag_base</t>
  </si>
  <si>
    <t>/actval/base/Historical_TopsideQtrLag/*/</t>
  </si>
  <si>
    <t>"SELECT \n  Cast(\n    TRIM(src.valuation_date) AS DATE\n  ) AS val_date, \n  Cast(\n    TRIM(src.block_id) AS INT\n  ) AS block_id, \n  Cast(\n    TRIM(src.balance_id) AS INT\n  ) AS balance_id, \n  Cast(\n    TRIM(src.source_id) AS INT\n  ) AS source_id, \n  TRIM(src.valuation_block) AS valuation_block, \n  TRIM(src.balance) AS balance, \n  TRIM(src.input_source) AS input_source, \n  TRIM(src.input_source_detail) AS input_source_detail, \n  Cast(\n    TRIM(src.eol_policy_count) AS DECIMAL(38, 0)\n  ) AS eol_policy_count, \n  Cast(\n    TRIM(src.eol_base_policy_db) AS DECIMAL(38, 2)\n  ) AS eol_base_policy_db, \n  Cast(\n    TRIM(src.eol_rider_db) AS DECIMAL(38, 2)\n  ) AS eol_rider_db, \n  Cast(\n    TRIM(src.eol_adb_db) AS DECIMAL(38, 2)\n  ) AS eol_adb_db, \n  Cast(\n    TRIM(src.source_policy_count) AS DECIMAL(38, 0)\n  ) AS source_policy_count, \n  Cast(\n    TRIM(src.source_base_policy_db) AS DECIMAL(38, 2)\n  ) AS source_base_policy_db, \n  Cast(\n    TRIM(src.source_rider_db) AS DECIMAL(38, 2)\n  ) AS source_rider_db, \n  Cast(\n    TRIM(src.source_adb_db) AS DECIMAL(38, 2)\n  ) AS source_adb_db, \n  Cast(\n    TRIM(src.ga_av) AS DECIMAL(38, 2)\n  ) AS ga_av, \n  Cast(\n    TRIM(src.sa_av) AS DECIMAL(38, 2)\n  ) AS sa_av, \n  Cast(\n    TRIM(src.ga_cv) AS DECIMAL(38, 2)\n  ) AS ga_cv, \n  Cast(\n    TRIM(src.sa_cv) AS DECIMAL(38, 2)\n  ) AS sa_cv, \n  Cast(\n    TRIM(src.shadow_av_1) AS DECIMAL(38, 2)\n  ) AS shadow_av_1, \n  Cast(\n    TRIM(src.shadow_av_2) AS DECIMAL(38, 2)\n  ) AS shadow_av_2, \n  Cast(\n    TRIM(src.shadow_av_3) AS DECIMAL(38, 2)\n  ) AS shadow_av_3, \n  Cast(\n    TRIM(src.excess_min_prem_1) AS DECIMAL(38, 2)\n  ) AS excess_min_prem_1, \n  Cast(\n    TRIM(src.excess_min_prem_2) AS DECIMAL(38, 2)\n  ) AS excess_min_prem_2, \n  Cast(\n    TRIM(src.excess_min_prem_3) AS DECIMAL(38, 2)\n  ) AS excess_min_prem_3, \n  Cast(\n    TRIM(src.loan_value) AS DECIMAL(38, 2)\n  ) AS loan_value, \n  Cast(\n    TRIM(src.loan_unearned_int) AS DECIMAL(38, 2)\n  ) AS loan_unearned_int, \n  Cast(\n    TRIM(src.gaap_balance) AS DECIMAL(38, 2)\n  ) AS gaap_balance, \n  Cast(\n    TRIM(src.tpa_gaap_balance) AS DECIMAL(38, 2)\n  ) AS tpa_gaap_balance, \n  Cast(\n    TRIM(src.stat_balance) AS DECIMAL(38, 2)\n  ) AS stat_balance, \n  Cast(\n    TRIM(src.tax_balance) AS DECIMAL(38, 2)\n  ) AS tax_balance, \n  Cast(\n    TRIM(src.ny_basis_stat_balance) AS DECIMAL(38, 2)\n  ) AS ny_basis_stat_balance, \n  Cast(\n    TRIM(src.economic_balance) AS DECIMAL(38, 2)\n  ) AS economic_balance, \n  Cast(\n    TRIM(src.bma_balance) AS DECIMAL(38, 2)\n  ) AS bma_balance \nFROM \n  SOURCE src\n"</t>
  </si>
  <si>
    <t>DL-ACT-PRO-ACTVAL-Historical_TopsideQtrLag-ELEB</t>
  </si>
  <si>
    <t>/actval/base/Historical_TopsideQtrLag/*/Historical_TopsideQtrLag/</t>
  </si>
  <si>
    <t>/actval/landing/Historical_TopsideQtrLag/*/Historical_TopsideQtrLag.csv</t>
  </si>
  <si>
    <t>DL-ACT-PRO-ACTVAL-Historical_TopsideSchRunOff-EBER</t>
  </si>
  <si>
    <t>lake_actval_historical_topsideschrunoff_recproc</t>
  </si>
  <si>
    <t>/actval/recproc/Historical_TopsideSchRunOff/*/Historical_TopsideSchRunOff/</t>
  </si>
  <si>
    <t>Historical_TopsideSchRunOff</t>
  </si>
  <si>
    <t>lake_actval_historical_topsideschrunoff_base</t>
  </si>
  <si>
    <t>/actval/base/Historical_TopsideSchRunOff/*/</t>
  </si>
  <si>
    <t>"SELECT \n  CAST(src.valuation_date AS DATE) AS val_date, \n  CAST(src.valuation_quarter AS STRING) AS val_qtr, \n  CAST(src.topside_id AS INTEGER) AS topside_id, \n  CAST(src.block_id AS INTEGER) AS block_id, \n  CAST(src.balance_id AS INTEGER) AS balance_id, \n  CAST(src.source_id AS INTEGER) AS source_id, \n  CAST(src.runoff_start_date AS DATE) AS runoff_start_date, \n  CAST(src.runoff_quarters AS INTEGER) AS runoff_quarters, \n  CAST(src.runoff_finish_date AS DATE) AS runoff_finish_date, \n  CAST(src.quarter_type AS STRING) AS quarter_type, \n  CAST(src.runoff_pattern AS INTEGER) AS runoff_pattern, \n  CAST(src.valuation_block AS STRING) AS valuation_block, \n  CAST(src.balance AS STRING) AS balance, \n  CAST(src.source_detail AS STRING) AS source_detail, \n  CAST(\n    '0' AS DECIMAL(38, 0)\n  ) AS eol_policy_count, \n  CAST(\n    '0' AS DECIMAL(38, 2)\n  ) AS eol_base_policy_db, \n  CAST(\n    '0' AS DECIMAL(38, 2)\n  ) AS eol_rider_db, \n  CAST(\n    '0' AS DECIMAL(38, 2)\n  ) AS eol_adb_db, \n  CAST(\n    '0' AS DECIMAL(38, 0)\n  ) AS source_policy_count, \n  CAST(\n    '0' AS DECIMAL(38, 2)\n  ) AS source_base_policy_db, \n  CAST(\n    '0' AS DECIMAL(38, 2)\n  ) AS source_rider_db, \n  CAST(\n    '0' AS DECIMAL(38, 2)\n  ) AS source_adb_db, \n  CAST(\n    '0' AS DECIMAL(38, 2)\n  ) AS ga_av, \n  CAST(\n    '0' AS DECIMAL(38, 2)\n  ) AS sa_av, \n  CAST(\n    '0' AS DECIMAL(38, 2)\n  ) AS ga_cv, \n  CAST(\n    '0' AS DECIMAL(38, 2)\n  ) AS sa_cv, \n  CAST(\n    '0' AS DECIMAL(38, 2)\n  ) AS shadow_av_1, \n  CAST(\n    '0' AS DECIMAL(38, 2)\n  ) AS shadow_av_2, \n  CAST(\n    '0' AS DECIMAL(38, 2)\n  ) AS shadow_av_3, \n  CAST(\n    '0' AS DECIMAL(38, 2)\n  ) AS excess_min_prem_1, \n  CAST(\n    '0' AS DECIMAL(38, 2)\n  ) AS excess_min_prem_2, \n  CAST(\n    '0' AS DECIMAL(38, 2)\n  ) AS excess_min_prem_3, \n  CAST(\n    '0' AS DECIMAL(38, 2)\n  ) AS loan_value, \n  CAST(\n    '0' AS DECIMAL(38, 2)\n  ) AS loan_unearned_int, \n  CAST(\n    TRIM(src.gaap_balance) AS DECIMAL(38, 2)\n  ) AS gaap_balance, \n  CAST(\n    TRIM(src.tpa_gaap_balance) AS DECIMAL(38, 2)\n  ) AS tpa_gaap_balance, \n  CAST(\n    TRIM(src.stat_balance) AS DECIMAL(38, 2)\n  ) AS stat_balance, \n  CAST(\n    TRIM(src.tax_balance) AS DECIMAL(38, 2)\n  ) AS tax_balance, \n  CAST(\n    TRIM(src.ny_basis_stat_balance) AS DECIMAL(38, 2)\n  ) AS ny_basis_stat_balance, \n  CAST(\n    TRIM(src.economic_balance) AS DECIMAL(38, 2)\n  ) AS economic_balance, \n  CAST(\n    TRIM(src.bma_balance) AS DECIMAL(38, 2)\n  ) AS bma_balance \nFROM \n  SOURC src\n"</t>
  </si>
  <si>
    <t>DL-ACT-PRO-ACTVAL-Historical_TopsideSchRunOff-ELEB</t>
  </si>
  <si>
    <t>/actval/base/Historical_TopsideSchRunOff/*/Historical_TopsideSchRunOff/</t>
  </si>
  <si>
    <t>/actval/landing/Historical_TopsideSchRunOff/*/Historical_TopsideSchRunOff.csv</t>
  </si>
  <si>
    <t>DL-ACT-PRO-ACTVAL-Historical_Val_Acct_BS_Voya-EBER</t>
  </si>
  <si>
    <t>lake_actval_historical_val_acct_bs_voya_recproc</t>
  </si>
  <si>
    <t>/actval/recproc/Historical_Val_Acct_BS_Voya/*/</t>
  </si>
  <si>
    <t>Historical_Val_Acct_BS_Voya</t>
  </si>
  <si>
    <t>lake_actval_historical_val_acct_bs_voya_base</t>
  </si>
  <si>
    <t>/actval/base/Historical_Val_Acct_BS_Voya/*/</t>
  </si>
  <si>
    <t>DL-ACT-PRO-ACTVAL-Historical_Val_Acct_BS_Voya-ERCC</t>
  </si>
  <si>
    <t>DL-ACT-PRO-ACTVAL-Historical_Val_Acct_BS_Voya-ELEB</t>
  </si>
  <si>
    <t>/actval/landing/Historical_Val_Acct_BS_Voya/*/Historical_Val_Acct_BS_Voya.csv</t>
  </si>
  <si>
    <t>lake_actval_historical_val_acct_bs_voya_current</t>
  </si>
  <si>
    <t>/actval/current/Historical_Val_Acct_BS_Voya/*/</t>
  </si>
  <si>
    <t>DL-ACT-PRO-ACTVAL-Historical_Val_Acct_BS-EBER</t>
  </si>
  <si>
    <t>lake_actval_historical_val_acct_bs_recproc</t>
  </si>
  <si>
    <t>/actval/recproc/Historical_Val_Acct_BS/*/</t>
  </si>
  <si>
    <t>Historical_Val_Acct_BS</t>
  </si>
  <si>
    <t>lake_actval_historical_val_acct_bs_base</t>
  </si>
  <si>
    <t>/actval/base/Historical_Val_Acct_BS/*/</t>
  </si>
  <si>
    <t>DL-ACT-PRO-ACTVAL-Historical_Val_Acct_BS-ERCC</t>
  </si>
  <si>
    <t>"SELECT \n  CAST(src.val_date AS DATE) AS val_date, \n  CAST(src.val_qtr AS STRING) AS valuation_quarter, \n  CAST(src.entry_type AS STRING) AS entry_type, \n  CAST(src.company AS STRING) AS company, \n  CAST(src.fas AS STRING) AS fas, \n  CAST(src.legal_entity AS STRING) AS legal_entity, \n  CAST(src.lob AS STRING) AS lob, \n  CAST(src.major_prod_type AS STRING) AS major_prod_type, \n  CAST(src.prod_type AS STRING) AS product_type, \n  CAST(src.valuation_block AS STRING) AS valuation_block, \n  CAST(src.direct_le AS STRING) AS direct_le, \n  CAST(src.rlus_gaap_cohort AS STRING) AS rlus_gaap_cohort, \n  CAST(src.tpa_gaap_cohort AS STRING) AS tpa_gaap_cohort, \n  CAST(src.grp_service AS STRING) AS grp_service, \n  CAST(src.grp_block AS STRING) AS grp_block, \n  CAST(src.grp_sub_block AS STRING) AS grp_sub_block, \n  CAST(src.par_code AS STRING) AS par_code, \n  CAST(src.insureds AS STRING) AS insureds, \n  CAST(src.input_source AS STRING) AS input_source, \n  CAST(src.input_source_description AS STRING) AS input_source_description, \n  CAST(src.input_source_meta_data AS STRING) AS input_source_meta_data, \n  CAST(src.dca_code AS STRING) AS dca_code, \n  CAST(src.reins_type AS STRING) AS reins_type, \n  CAST(src.gaap_reins_class AS STRING) AS gaap_reins_class, \n  CAST(src.stat_reins_class AS STRING) AS stat_reins_class, \n  CAST(src.ic_reins AS STRING) AS ic_reins, \n  CAST(src.financing_deal AS STRING) AS financing_deal, \n  CAST(src.sub_deal AS STRING) AS sub_deal, \n  CAST(src.balance_description AS STRING) AS balance_description, \n  CAST(src.chg_in_bal_description AS STRING) AS chg_in_bal_description, \n  CAST(src.policy_count AS INTEGER) AS policy_count, \n  CAST(\n    TRIM(src.base_policy_db) AS DECIMAL(38, 2)\n  ) AS base_policy_db, \n  CAST(\n    TRIM(src.rider_db) AS DECIMAL(38, 2)\n  ) AS rider_db, \n  CAST(\n    TRIM(src.adb_db) AS DECIMAL(38, 2)\n  ) AS adb_db, \n  CAST(src.source_policy_count AS DECIMAL(38, 0)) AS source_policy_count, \n  CAST(\n    TRIM(src.source_base_policy_db) AS DECIMAL(38, 2)\n  ) AS source_base_policy_db, \n  CAST(\n    TRIM(src.source_rider_db) AS DECIMAL(38, 2)\n  ) AS source_rider_db, \n  CAST(\n    TRIM(src.source_adb_db) AS DECIMAL(38, 2)\n  ) AS source_adb_db, \n  CAST(\n    TRIM(src.ga_av) AS DECIMAL(38, 2)\n  ) AS ga_av, \n  CAST(\n    TRIM(src.sa_av) AS DECIMAL(38, 2)\n  ) AS sa_av, \n  CAST(\n    TRIM(src.ga_cv) AS DECIMAL(38, 2)\n  ) AS ga_cv, \n  CAST(\n    TRIM(src.sa_cv) AS DECIMAL(38, 2)\n  ) AS sa_cv, \n  CAST(\n    TRIM(src.shadow_av) AS DECIMAL(38, 2)\n  ) AS shadow_av, \n  CAST(\n    TRIM(src.indexed_av) AS DECIMAL(38, 2)\n  ) AS indexed_av, \n  CAST(\n    TRIM(src.fixed_av) AS DECIMAL(38, 2)\n  ) AS fixed_av, \n  CAST(\n    TRIM(src.excess_min_prem_1) AS DECIMAL(38, 2)\n  ) AS excess_min_prem_1, \n  CAST(\n    TRIM(src.excess_min_prem_2) AS DECIMAL(38, 2)\n  ) AS excess_min_prem_2, \n  CAST(\n    TRIM(src.excess_min_prem_3) AS DECIMAL(38, 2)\n  ) AS excess_min_prem_3, \n  CAST(\n    TRIM(src.loan_value) AS DECIMAL(38, 2)\n  ) AS loan_value, \n  CAST(\n    TRIM(src.loan_unearned_int) AS DECIMAL(38, 2)\n  ) AS loan_unearned_int, \n  CAST(\n    TRIM(src.rlus_gaap_balance) AS DECIMAL(38, 2)\n  ) AS rlus_gaap_balance, \n  CAST(\n    TRIM(src.tpa_gaap_balance) AS DECIMAL(38, 2)\n  ) AS tpa_gaap_balance, \n  CAST(\n    TRIM(src.stat_balance) AS DECIMAL(38, 2)\n  ) AS stat_balance, \n  CAST(\n    TRIM(src.tax_balance) AS DECIMAL(38, 2)\n  ) AS tax_balance, \n  CAST(\n    TRIM(src.ny_basis_stat_balance) AS DECIMAL(38, 2)\n  ) AS ny_basis_stat_balance, \n  CAST(\n    TRIM(src.economic_balance) AS DECIMAL(38, 2)\n  ) AS economic_balance, \n  CAST(\n    TRIM(src.bma_balance) AS DECIMAL(38, 2)\n  ) AS bma_balance, \n  CAST(\n    TRIM(src.ics_balance) AS DECIMAL(38, 2)\n  ) AS ics_balance, \n  CAST(\n    TRIM(src.ifrs_balance) AS DECIMAL(38, 2)\n  ) AS ifrs_balance, \n  CAST(src.gaap_bs_cat AS STRING) AS gaap_bs_cat, \n  CAST(src.stat_bs_cat AS STRING) AS stat_bs_cat, \n  CAST(src.tax_bs_cat AS STRING) AS tax_bs_cat, \n  CAST(src.cft_mod AS STRING) AS cft_mod, \n  CAST(src.affiliate_le AS STRING) AS affiliate_le, \n  CAST(src.upload_entry_ind AS STRING) AS upload_entry_ind, \n  CAST(src.reins_rider AS STRING) AS reins_rider, \n  CAST(\n    TRIM(src.reins_mult) AS DECIMAL(38, 2)\n  ) AS reins_mult, \n  CAST(\n    TRIM(src.gaap_mult) AS DECIMAL(38, 2)\n  ) AS gaap_mult, \n  CAST(src.trend_category AS STRING) AS trend_category, \n  CAST(src.fin_reins_category AS STRING) AS fin_reins_category, \n  CAST(src.grossceded AS STRING) AS grossceded, \n  CAST(src.finreinsflag AS STRING) AS finreinsflag, \n  CAST(src.ledger_segment AS STRING) AS ledger_segment, \n  CAST(src.ledger_product AS STRING) AS ledger_product, \n  CAST(src.ledger_cohort AS STRING) AS ledger_cohort, \n  CAST(src.block_id AS INTEGER) AS block_id, \n  CAST(src.sub_deal_id AS INTEGER) AS sub_deal_id, \n  CAST(src.dca_id AS STRING) AS dca_id, \n  CAST(src.dca_id2 AS INTEGER) AS dca_id2, \n  CAST(src.source_id AS INTEGER) AS source_id, \n  CAST(src.balance_id AS INTEGER) AS balance_id, \n  CAST(src.combo_id AS INTEGER) AS combo_id, \n  CAST(src.upload_bs_lkup AS STRING) AS upload_bs_lkup, \n  CAST(src.le_code AS STRING) AS le_code, \n  CAST(src.affiliate_code AS STRING) AS affiliate_code, \n  CAST(src.prod_code AS STRING) AS product_code, \n  CAST(src.seg_code AS STRING) AS segment_code, \n  CAST(src.ins_type_code AS STRING) AS ins_type_code, \n  CAST(src.reins_code AS STRING) AS reinsurer_code, \n  CAST(src.treaty_code AS STRING) AS treaty_code, \n  CAST(src.stat_bs_acct AS STRING) AS stat_bs_acct, \n  CAST(src.gaap_bs_acct AS STRING) AS gaap_bs_acct, \n  CAST(src.bs_lkup AS INTEGER) AS bs_lkup \nFROM \n  SOURCE src\n"</t>
  </si>
  <si>
    <t>DL-ACT-PRO-ACTVAL-Historical_Val_Acct_BS-ELEB</t>
  </si>
  <si>
    <t>/actval/landing/Historical_Val_Acct_BS/*/Historical_Val_Acct_BS.csv</t>
  </si>
  <si>
    <t>lake_actval_historical_val_acct_bs_current</t>
  </si>
  <si>
    <t>/actval/current/Historical_Val_Acct_BS/*/</t>
  </si>
  <si>
    <t>DL-ACT-PRO-ACTVAL-Historical_Val_Acct_IS-EBER</t>
  </si>
  <si>
    <t>lake_actval_historical_val_acct_is_recproc</t>
  </si>
  <si>
    <t>/actval/recproc/Historical_Val_Acct_IS/*/</t>
  </si>
  <si>
    <t>Historical_Val_Acct_IS</t>
  </si>
  <si>
    <t>lake_actval_historical_val_acct_is_base</t>
  </si>
  <si>
    <t>/actval/base/Historical_Val_Acct_IS/*/</t>
  </si>
  <si>
    <t>DL-ACT-PRO-ACTVAL-Historical_Val_Acct_IS-ERCC</t>
  </si>
  <si>
    <t>DL-ACT-PRO-ACTVAL-Historical_Val_Acct_IS-ELEB</t>
  </si>
  <si>
    <t>/actval/landing/Historical_Val_Acct_IS/*/Historical_Val_Acct_IS.csv</t>
  </si>
  <si>
    <t>lake_actval_historical_val_acct_is_current</t>
  </si>
  <si>
    <t>/actval/current/Historical_Val_Acct_IS/*/</t>
  </si>
  <si>
    <t>DL-ACT-PRO-ACTVAL-Input_BS_Prophet_VoyaBlock_Seriatim-EBER</t>
  </si>
  <si>
    <t>lake_actval_input_bs_prophet_voyablock_seriatim_recproc</t>
  </si>
  <si>
    <t>/actval/recproc/Input_BS_Prophet_VoyaBlock_Seriatim/*/Input_BS_Prophet_VoyaBlock_Seriatim</t>
  </si>
  <si>
    <t>Input_BS_Prophet_VoyaBlock_Seriatim</t>
  </si>
  <si>
    <t>lake_actval_input_bs_prophet_voyablock_seriatim_base</t>
  </si>
  <si>
    <t>/actval/base/Input_BS_Prophet_VoyaBlock_Seriatim/*/</t>
  </si>
  <si>
    <t>DL-ENT-PRO-ACTVAL-Input_BS_Prophet_VoyaBlock_Seriatim-CCER</t>
  </si>
  <si>
    <t>"SELECT \n  DISTINCT valuation_block, \n  input_source, \n  input_source_description, \n  input_source_meta_data, \n  TO_DATE(src.val_date, 'MM/dd/yyyy') AS val_date, \n  balance_description, \n  CAST(src.policy_count AS INTEGER) AS policy_count, \n  CAST(\n    src.base_policy_db AS DECIMAL(38, 2)\n  ) AS base_policy_db, \n  CAST(\n    src.rider_db AS DECIMAL(38, 2)\n  ) AS rider_db, \n  CAST(\n    src.adb_db AS DECIMAL(38, 2)\n  ) AS adb_db, \n  CAST(\n    src.source_policy_count AS INTEGER\n  ) AS source_policy_count, \n  CAST(\n    src.source_base_policy_db AS DECIMAL(38, 2)\n  ) AS source_base_policy_db, \n  CAST(\n    src.source_rider_db AS DECIMAL(38, 2)\n  ) AS source_rider_db, \n  CAST(\n    src.source_adb_db AS DECIMAL(38, 2)\n  ) AS source_adb_db, \n  CAST(\n    src.ga_av AS DECIMAL(38, 2)\n  ) AS ga_av, \n  CAST(\n    src.sa_av AS DECIMAL(38, 2)\n  ) AS sa_av, \n  CAST(\n    src.ga_cv AS DECIMAL(38, 2)\n  ) AS ga_cv, \n  CAST(\n    src.sa_cv AS DECIMAL(38, 2)\n  ) AS sa_cv, \n  CAST(\n    src.shadow_av AS DECIMAL(38, 2)\n  ) AS shadow_av, \n  CAST(\n    src.indexed_av AS DECIMAL(38, 2)\n  ) AS indexed_av, \n  CAST(\n    src.fixed_av AS DECIMAL(38, 2)\n  ) AS fixed_av, \n  CAST(\n    src.excess_min_prem_1 AS DECIMAL(38, 2)\n  ) AS excess_min_prem_1, \n  CAST(\n    src.excess_min_prem_2 AS DECIMAL(38, 2)\n  ) AS excess_min_prem_2, \n  CAST(\n    src.excess_min_prem_3 AS DECIMAL(38, 2)\n  ) AS excess_min_prem_3, \n  CAST(\n    src.loan_value AS DECIMAL(38, 2)\n  ) AS loan_value, \n  CAST(\n    src.loan_unearned_int AS DECIMAL(38, 2)\n  ) AS loan_unearned_int, \n  CAST(\n    src.rlus_gaap_balance AS DECIMAL(38, 2)\n  ) AS rlus_gaap_balance, \n  CAST(\n    src.tpa_gaap_balance AS DECIMAL(38, 2)\n  ) AS tpa_gaap_balance, \n  CAST(\n    src.stat_balance AS DECIMAL(38, 2)\n  ) AS stat_balance, \n  CAST(\n    src.tax_balance AS DECIMAL(38, 2)\n  ) AS tax_balance, \n  CAST(\n    src.ny_basis_stat_balance AS DECIMAL(38, 2)\n  ) AS ny_basis_stat_balance, \n  CAST(\n    src.economic_balance AS DECIMAL(38, 2)\n  ) AS economic_balance, \n  CAST(\n    src.bma_balance AS DECIMAL(38, 2)\n  ) AS bma_balance, \n  CAST(\n    src.ics_balance AS DECIMAL(38, 2)\n  ) AS ics_balance, \n  CAST(\n    src.ifrs_balance AS DECIMAL(38, 2)\n  ) AS ifrs_balance \nFROM \n  SOURCE src"</t>
  </si>
  <si>
    <t>DL-ACT-PRO-ACTVAL-Input_BS_Prophet_VoyaBlock_Seriatim-ELEB</t>
  </si>
  <si>
    <t>/actval/base/Input_BS_Prophet_VoyaBlock_Seriatim/*/Input_BS_Prophet_VoyaBlock_Seriatim</t>
  </si>
  <si>
    <t>/actval/landing/Input_BS_Prophet_VoyaBlock_Seriatim/*/Input_BS_Prophet_VoyaBlock_Seriatim.csv</t>
  </si>
  <si>
    <t>DL-ACT-PRO-ACTVAL-Input_BS_Topsides_Merged-EJCC</t>
  </si>
  <si>
    <t>lake_actval_input_bs_topsides_merged_current</t>
  </si>
  <si>
    <t>/actval/current/Input_BS_Topsides_Merged/*/Input_BS_Topsides_Merged/</t>
  </si>
  <si>
    <t>Input_BS_Topsides_Merged</t>
  </si>
  <si>
    <t>lake_actval_input_bs_topsides_merged_join</t>
  </si>
  <si>
    <t>/actval/join/Input_BS_Topsides_Merged/</t>
  </si>
  <si>
    <t>DL-ACT-PRO-ACTVAL-Input_BS_Topsides_Merged-EREJ</t>
  </si>
  <si>
    <t>/actval/join/Input_BS_Topsides_Merged/*/</t>
  </si>
  <si>
    <t>lake_actval_input_bs_topsides_schrunoff_recproc|lake_actval_input_bs_topsides_qtrlag_recproc|lake_actval_input_bs_topsides_othr_recproc</t>
  </si>
  <si>
    <t>actval/recproc/Input_BS_Topsides_SchRunOff|actval/recproc/Input_BS_Topsides_QtrLag|actval/recproc/Input_BS_Topsides_Othr</t>
  </si>
  <si>
    <t>"WITH qtrlag AS ( SELECT qtr.val_date, qtr.valuation_block, qtr.balance, qtr.input_source, qtr.input_source_description, qtr.input_source_metadata, qtr.policy_count, qtr.base_policy_db, qtr.rider_db, qtr.adb_db, qtr.source_policy_count, qtr.source_base_policy_db, qtr.source_rider_db, qtr.source_adb_db, qtr.ga_av, qtr.sa_av, qtr.ga_cv, qtr.sa_cv, qtr.shadow_av, qtr.indexed_av, qtr.fixed_av, qtr.excess_min_prem_1, qtr.excess_min_prem_2, qtr.excess_min_prem_3, qtr.loan_value, qtr.loan_unearned_int, qtr.rlus_gaap_balance, qtr.tpa_gaap_balance, qtr.stat_balance, qtr.tax_balance, qtr.ny_basis_stat_balance, qtr.economic_balance, qtr.bma_balance, qtr.ics_balance, qtr.ifrs_balance FROM QTRLAGTBL qtr ), curr_val_date AS ( SELECT DISTINCT q.val_date FROM qtrlag q ), schrunoff AS ( SELECT sch.val_date, sch.valuation_block, sch.balance, sch.input_source, sch.input_source_description, sch.input_source_metadata, CAST( '0.00' AS DECIMAL(38, 0) ) AS policy_count, CAST( '0.00' AS DECIMAL(38, 2) ) AS base_policy_db, CAST( '0.00' AS DECIMAL(38, 2) ) AS rider_db, CAST( '0.00' AS DECIMAL(38, 2) ) AS adb_db, CAST( '0.00' AS DECIMAL(38, 0) ) AS source_policy_count, CAST( '0.00' AS DECIMAL(38, 2) ) AS source_base_policy_db, CAST( '0.00' AS DECIMAL(38, 2) ) AS source_rider_db, CAST( '0.00' AS DECIMAL(38, 2) ) AS source_adb_db, CAST( '0.00' AS DECIMAL(38, 2) ) AS ga_av, CAST( '0.00' AS DECIMAL(38, 2) ) AS sa_av, CAST( '0.00' AS DECIMAL(38, 2) ) AS ga_cv, CAST( '0.00' AS DECIMAL(38, 2) ) AS sa_cv, CAST( '0.00' AS DECIMAL(38, 2) ) AS shadow_av, CAST( '0.00' AS DECIMAL(38, 2) ) AS indexed_av, CAST( '0.00' AS DECIMAL(38, 2) ) AS fixed_av, CAST( '0.00' AS DECIMAL(38, 2) ) AS excess_min_prem_1, CAST( '0.00' AS DECIMAL(38, 2) ) AS excess_min_prem_2, CAST( '0.00' AS DECIMAL(38, 2) ) AS excess_min_prem_3, CAST( '0.00' AS DECIMAL(38, 2) ) AS loan_value, CAST( '0.00' AS DECIMAL(38, 2) ) AS loan_unearned_int, sch.rlus_gaap_balance, sch.tpa_gaap_balance, sch.stat_balance, sch.tax_balance, sch.ny_basis_stat_balance, sch.economic_balance, sch.bma_balance, sch.ics_balance, sch.ifrs_balance FROM SCHRUNOFFTBL sch WHERE val_date = ( SELECT curr_val_date.val_date FROM curr_val_date ) ), other AS ( SELECT othr.val_date, othr.valuation_block, othr.balance, othr.input_source, othr.input_source_description, othr.input_source_metadata, othr.policy_count, othr.base_policy_db, othr.rider_db, othr.adb_db, othr.source_policy_count, othr.source_base_policy_db, othr.source_rider_db, othr.source_adb_db, othr.ga_av, othr.sa_av, othr.ga_cv, othr.sa_cv, othr.shadow_av, othr.indexed_av, othr.fixed_av, othr.excess_min_prem_1, othr.excess_min_prem_2, othr.excess_min_prem_3, othr.loan_value, othr.loan_unearned_int, othr.rlus_gaap_balance, othr.tpa_gaap_balance, othr.stat_balance, othr.tax_balance, othr.ny_basis_stat_balance, othr.economic_balance, othr.bma_balance, othr.ics_balance, othr.ifrs_balance FROM OTHERTBL othr ), merged AS ( SELECT * FROM qtrlag UNION ALL SELECT * FROM other UNION ALL SELECT * FROM schrunoff ) SELECT DISTINCT merged.val_date, merged.valuation_block, merged.balance, merged.input_source, merged.input_source_description, merged.input_source_metadata, SUM(merged.policy_count) AS policy_count, SUM(merged.base_policy_db) AS base_policy_db, SUM(merged.rider_db) AS rider_db, SUM(merged.adb_db) AS adb_db, SUM(merged.source_policy_count) AS source_policy_count, SUM(merged.source_base_policy_db) AS source_base_policy_db, SUM(merged.source_rider_db) AS source_rider_db, SUM(merged.source_adb_db) AS source_adb_db, SUM(merged.ga_av) AS ga_av, SUM(merged.sa_av) AS sa_av, SUM(merged.ga_cv) AS ga_cv, SUM(merged.sa_cv) AS sa_cv, SUM(merged.shadow_av) AS shadow_av, SUM(merged.indexed_av) AS indexed_av, SUM(merged.fixed_av) AS fixed_av, SUM(merged.excess_min_prem_1) AS excess_min_prem_1, SUM(merged.excess_min_prem_2) AS excess_min_prem_2, SUM(merged.excess_min_prem_3) AS excess_min_prem_3, SUM(merged.loan_value) AS loan_value, SUM(merged.loan_unearned_int) AS loan_unearned_int, SUM(merged.rlus_gaap_balance) AS rlus_gaap_balance, SUM(merged.tpa_gaap_balance) AS tpa_gaap_balance, SUM(merged.stat_balance) AS stat_balance, SUM(merged.tax_balance) AS tax_balance, SUM(merged.ny_basis_stat_balance) AS ny_basis_stat_balance, SUM(merged.economic_balance) AS economic_balance, SUM(merged.bma_balance) AS bma_balance, SUM(merged.ics_balance) AS ics_balance, SUM(ifrs_balance) AS ifrs_balance FROM merged GROUP BY merged.val_date, merged.valuation_block, merged.balance, merged.input_source, merged.input_source_description, merged.input_source_metadata ORDER BY merged.val_date, merged.input_source, merged.valuation_block, merged.balance"</t>
  </si>
  <si>
    <t>DL-ACT-PRO-ACTVAL-Input_BS_Topsides_Othr-EBER</t>
  </si>
  <si>
    <t>lake_actval_input_bs_topsides_othr_recproc</t>
  </si>
  <si>
    <t>/actval/recproc/Input_BS_Topsides_Othr/*/</t>
  </si>
  <si>
    <t>Input_BS_Topsides_Othr</t>
  </si>
  <si>
    <t>lake_actval_input_bs_topsides_othr_base</t>
  </si>
  <si>
    <t>/actval/base/Input_BS_Topsides_Othr/*/</t>
  </si>
  <si>
    <t>"SELECT DISTINCT \n  CAST(src.val_date AS DATE) AS val_date, \n  src.valuation_block, \n  src.balance, \n  src.input_source, \n  src.input_source_description,\n  src.input_source_metadata, \n  CAST(\n    src.policy_count AS DECIMAL(38, 0)\n  ) AS policy_count, \n  CAST(\n    src.base_policy_db AS DECIMAL(38, 2)\n  ) AS base_policy_db, \n  CAST(\n    src.rider_db AS DECIMAL(38, 2)\n  ) AS rider_db, \n  CAST(\n    src.adb_db AS DECIMAL(38, 2)\n  ) AS adb_db, \n  CAST(\n    src.source_policy_count AS DECIMAL(38, 0)\n  ) AS source_policy_count, \n  CAST(\n    src.source_base_policy_db AS DECIMAL(38, 2)\n  ) AS source_base_policy_db, \n  CAST(\n    src.source_rider_db AS DECIMAL(38, 2)\n  ) AS source_rider_db, \n  CAST(\n    src.source_adb_db AS DECIMAL(38, 2)\n  ) AS source_adb_db, \n  CAST(\n    src.ga_av AS DECIMAL(38, 2)\n  ) AS ga_av, \n  CAST(\n    src.sa_av AS DECIMAL(38, 2)\n  ) AS sa_av, \n  CAST(\n    src.ga_cv AS DECIMAL(38, 2)\n  ) AS ga_cv, \n  CAST(\n    src.sa_cv AS DECIMAL(38, 2)\n  ) AS sa_cv, \n  CAST(\n    src.shadow_av AS DECIMAL(38, 2)\n  ) AS shadow_av, \n  CAST(\n    src.indexed_av AS DECIMAL(38, 2)\n  ) AS indexed_av, \n  CAST(\n    src.fixed_av AS DECIMAL(38, 2)\n  ) AS fixed_av, \n  CAST(\n    src.excess_min_prem_1 AS DECIMAL(38, 2)\n  ) AS excess_min_prem_1, \n  CAST(\n    src.excess_min_prem_2 AS DECIMAL(38, 2)\n  ) AS excess_min_prem_2, \n  CAST(\n    src.excess_min_prem_3 AS DECIMAL(38, 2)\n  ) AS excess_min_prem_3, \n  CAST(\n    src.loan_value AS DECIMAL(38, 2)\n  ) AS loan_value, \n  CAST(\n    src.loan_unearned_int AS DECIMAL(38, 2)\n  ) AS loan_unearned_int, \n  CAST(\n    src.rlus_gaap_balance AS DECIMAL(38, 2)\n  ) AS rlus_gaap_balance, \n  CAST(\n    src.tpa_gaap_balance AS DECIMAL(38, 2)\n  ) AS tpa_gaap_balance, \n  CAST(\n    src.stat_balance AS DECIMAL(38, 2)\n  ) AS stat_balance, \n  CAST(\n    src.tax_balance AS DECIMAL(38, 2)\n  ) AS tax_balance, \n  CAST(\n    src.ny_basis_stat_balance AS DECIMAL(38, 2)\n  ) AS ny_basis_stat_balance, \n  CAST(\n    src.economic_balance AS DECIMAL(38, 2)\n  ) AS economic_balance, \n  CAST(\n    src.bma_balance AS DECIMAL(38, 2)\n  ) AS bma_balance, \n  CAST(\n    src.ics_balance AS DECIMAL(38, 2)\n  ) AS ics_balance, \n  CAST(\n    src.ifrs_balance AS DECIMAL(38, 2)\n  ) AS ifrs_balance \nFROM \n  SOURCE src\n"</t>
  </si>
  <si>
    <t>DL-ACT-PRO-ACTVAL-Input_BS_Topsides_Othr-ELEB</t>
  </si>
  <si>
    <t>/actval/base/Input_BS_Topsides_Othr/*/Input_BS_Topsides_Othr/</t>
  </si>
  <si>
    <t>/actval/landing/Input_BS_Topsides_Othr/*/Input_BS_Topsides_Othr.csv</t>
  </si>
  <si>
    <t>DL-ACT-PRO-ACTVAL-Input_BS_Topsides_QtrLag_Actuals-EBER</t>
  </si>
  <si>
    <t>lake_actval_input_bs_topsides_qtrlag_actuals_recproc</t>
  </si>
  <si>
    <t>/actval/recproc/Input_BS_Topsides_QtrLag_Actuals/*/Input_BS_Topsides_QtrLag_Actuals/</t>
  </si>
  <si>
    <t>Input_BS_Topsides_QtrLag_Actuals</t>
  </si>
  <si>
    <t>lake_actval_input_bs_topsides_qtrlag_actuals_base</t>
  </si>
  <si>
    <t>/actval/base/Input_BS_Topsides_QtrLag_Actuals/*/</t>
  </si>
  <si>
    <t>"SELECT DISTINCT \n  CAST(\n	src.val_date AS DATE\n  ) AS val_date, \n  src.valuation_block, \n  src.balance, \n  src.input_source, \n  src.input_source_description, \n  src.input_source_metadata, \n  CAST(\n    src.policy_count AS DECIMAL(38, 0)\n  ) AS policy_count, \n  CAST(\n    src.base_policy_db AS DECIMAL(38, 2)\n  ) AS base_policy_db, \n  CAST(\n    src.rider_db AS DECIMAL(38, 2)\n  ) AS rider_db, \n  CAST(\n    src.adb_db AS DECIMAL(38, 2)\n  ) AS adb_db, \n  CAST(\n    src.source_policy_count AS DECIMAL(38, 0)\n  ) AS source_policy_count, \n  CAST(\n    src.source_base_policy_db AS DECIMAL(38, 0)\n  ) AS source_base_policy_db, \n  CAST(\n    src.source_rider_db AS DECIMAL(38, 2)\n  ) AS source_rider_db, \n  CAST(\n    src.source_adb_db AS DECIMAL(38, 2)\n  ) AS source_adb_db, \n  CAST(\n    src.ga_av AS DECIMAL(38, 2)\n  ) AS ga_av, \n  CAST(\n    src.sa_av AS DECIMAL(38, 2)\n  ) AS sa_av, \n  CAST(\n    src.ga_cv AS DECIMAL(38, 2)\n  ) AS ga_cv, \n  CAST(\n    src.sa_cv AS DECIMAL(38, 2)\n  ) AS sa_cv, \n  CAST(\n    src.shadow_av AS DECIMAL(38, 2)\n  ) AS shadow_av, \n  CAST(\n    src.indexed_av AS DECIMAL(38, 2)\n  ) AS indexed_av, \n  CAST(\n    src.fixed_av AS DECIMAL(38, 2)\n  ) AS fixed_av, \n  CAST(\n    src.excess_min_prem_1 AS DECIMAL(38, 2)\n  ) AS excess_min_prem_1, \n  CAST(\n    src.excess_min_prem_2 AS DECIMAL(38, 2)\n  ) AS excess_min_prem_2, \n  CAST(\n    src.excess_min_prem_3 AS DECIMAL(38, 2)\n  ) AS excess_min_prem_3, \n  CAST(\n    src.loan_value AS DECIMAL(38, 2)\n  ) AS loan_value, \n  CAST(\n    src.loan_unearned_int AS DECIMAL(38, 2)\n  ) AS loan_unearned_int, \n  CAST(\n    src.rlus_gaap_balance AS DECIMAL(38, 2)\n  ) AS rlus_gaap_balance, \n  CAST(\n    src.tpa_gaap_balance AS DECIMAL(38, 2)\n  ) AS tpa_gaap_balance, \n  CAST(\n    src.stat_balance AS DECIMAL(38, 2)\n  ) AS stat_balance, \n  CAST(\n    src.tax_balance AS DECIMAL(38, 2)\n  ) AS tax_balance, \n  CAST(\n    src.ny_basis_stat_balance AS DECIMAL(38, 2)\n  ) AS ny_basis_stat_balance, \n  CAST(\n    src.economic_balance AS DECIMAL(38, 2)\n  ) AS economic_balance, \n  CAST(\n    src.bma_balance AS DECIMAL(38, 2)\n  ) AS bma_balance, \n  CAST(\n    src.ics_balance AS DECIMAL(38, 2)\n  ) AS ics_balance, \n  CAST(\n    src.ifrs_balance AS DECIMAL(38, 2)\n  ) AS ifrs_balance \nFROM \n  SOURCE src\n"</t>
  </si>
  <si>
    <t>DL-ACT-PRO-ACTVAL-Input_BS_Topsides_QtrLag_Actuals-ELEB</t>
  </si>
  <si>
    <t>/actval/base/Input_BS_Topsides_QtrLag_Actuals/*/Input_BS_Topsides_QtrLag_Actuals/</t>
  </si>
  <si>
    <t>/actval/landing/Input_BS_Topsides_QtrLag_Actuals/*/Input_BS_Topsides_QtrLag_Actuals.csv</t>
  </si>
  <si>
    <t>DL-ACT-PRO-ACTVAL-Input_BS_Topsides_QtrLag-EBER</t>
  </si>
  <si>
    <t>lake_actval_input_bs_topsides_qtrlag_recproc</t>
  </si>
  <si>
    <t>/actval/recproc/Input_BS_Topsides_QtrLag/*/Input_BS_Topsides_QtrLag/</t>
  </si>
  <si>
    <t>Input_BS_Topsides_QtrLag</t>
  </si>
  <si>
    <t>lake_actval_input_bs_topsides_qtrlag_base</t>
  </si>
  <si>
    <t>/actval/base/Input_BS_Topsides_QtrLag/*/</t>
  </si>
  <si>
    <t>"SELECT DISTINCT \n  CAST(\n    src.val_date AS DATE\n  ) AS val_date, \n  src.valuation_block, \n  src.balance, \n  src.input_source, \n  src.input_source_description,\n  src.input_source_metadata, \n  CAST(\n    src.policy_count AS DECIMAL(38, 0)\n  ) AS policy_count, \n  CAST(\n    src.base_policy_db AS DECIMAL(38, 2)\n  ) AS base_policy_db, \n  CAST(\n    src.rider_db AS DECIMAL(38, 2)\n  ) AS rider_db, \n  CAST(\n    src.adb_db AS DECIMAL(38, 2)\n  ) AS adb_db, \n  CAST(\n    src.source_policy_count AS DECIMAL(38, 0)\n  ) AS source_policy_count, \n  CAST(\n    src.source_base_policy_db AS DECIMAL(38, 2)\n  ) AS source_base_policy_db, \n  CAST(\n    src.source_rider_db AS DECIMAL(38, 2)\n  ) AS source_rider_db, \n  CAST(\n    src.source_adb_db AS DECIMAL(38, 2)\n  ) AS source_adb_db, \n  CAST(\n    src.ga_av AS DECIMAL(38, 2)\n  ) AS ga_av, \n  CAST(\n    src.sa_av AS DECIMAL(38, 2)\n  ) AS sa_av, \n  CAST(\n    src.ga_cv AS DECIMAL(38, 2)\n  ) AS ga_cv, \n  CAST(\n    src.sa_cv AS DECIMAL(38, 2)\n  ) AS sa_cv, \n  CAST(\n    src.shadow_av AS DECIMAL(38, 2)\n  ) AS shadow_av, \n  CAST(\n    src.indexed_av AS DECIMAL(38, 2)\n  ) AS indexed_av, \n  CAST(\n    src.fixed_av AS DECIMAL(38, 2)\n  ) AS fixed_av, \n  CAST(\n    src.excess_min_prem_1 AS DECIMAL(38, 2)\n  ) AS excess_min_prem_1, \n  CAST(\n    src.excess_min_prem_2 AS DECIMAL(38, 2)\n  ) AS excess_min_prem_2, \n  CAST(\n    src.excess_min_prem_3 AS DECIMAL(38, 2)\n  ) AS excess_min_prem_3, \n  CAST(\n    src.loan_value AS DECIMAL(38, 2)\n  ) AS loan_value, \n  CAST(\n    src.loan_unearned_int AS DECIMAL(38, 2)\n  ) AS loan_unearned_int, \n  CAST(\n    src.rlus_gaap_balance AS DECIMAL(38, 2)\n  ) AS rlus_gaap_balance, \n  CAST(\n    src.tpa_gaap_balance AS DECIMAL(38, 2)\n  ) AS tpa_gaap_balance, \n  CAST(\n    src.stat_balance AS DECIMAL(38, 2)\n  ) AS stat_balance, \n  CAST(\n    src.tax_balance AS DECIMAL(38, 2)\n  ) AS tax_balance, \n  CAST(\n    src.ny_basis_stat_balance AS DECIMAL(38, 2)\n  ) AS ny_basis_stat_balance, \n  CAST(\n    src.economic_balance AS DECIMAL(38, 2)\n  ) AS economic_balance, \n  CAST(\n    src.bma_balance AS DECIMAL(38, 2)\n  ) AS bma_balance, \n  CAST(\n    src.ics_balance AS DECIMAL(38, 2)\n  ) AS ics_balance, \n  CAST(\n    src.ifrs_balance AS DECIMAL(38, 2)\n  ) AS ifrs_balance \nFROM \n  SOURCE src\n"</t>
  </si>
  <si>
    <t>DL-ACT-PRO-ACTVAL-Input_BS_Topsides_QtrLag-ELEB</t>
  </si>
  <si>
    <t>/actval/base/Input_BS_Topsides_QtrLag/*/Input_BS_Topsides_QtrLag/</t>
  </si>
  <si>
    <t>/actval/landing/Input_BS_Topsides_QtrLag/*/Input_BS_Topsides_QtrLag.csv</t>
  </si>
  <si>
    <t>lake_actval_input_bs_topsides_schrunoff_filtered_recproc</t>
  </si>
  <si>
    <t>/actval/recproc/Input_BS_Topsides_SchRunOff_Filtered/*/</t>
  </si>
  <si>
    <t>Input_BS_Topsides_SchRunOff_Filtered</t>
  </si>
  <si>
    <t>lake_actval_base_bs_topsides_schrunoff_recproc|lake_actval_input_bs_topsides_qtrlag_recproc</t>
  </si>
  <si>
    <t>actval/recproc/Base_BS_Topsides_SchRunOff|actval/recproc/Input_BS_Topsides_QtrLag</t>
  </si>
  <si>
    <t>BASE|QTRLAG</t>
  </si>
  <si>
    <t>"WITH curr_val_date AS (\n  SELECT \n    DISTINCT MAX(qtr.val_date) val_date \n  FROM \n    QTRLAG qtr\n) \nSELECT \n  sch.val_date, \n  sch.valuation_block, \n  sch.balance, \n  sch.input_source, \n  sch.input_source_description, \n  sch.input_source_metadata, \n  CAST(\n    '0.00' AS DECIMAL(38, 0)\n  ) AS policy_count, \n  CAST(\n    '0.00' AS DECIMAL(38, 2)\n  ) AS base_policy_db, \n  CAST(\n    '0.00' AS DECIMAL(38, 2)\n  ) AS rider_db, \n  CAST(\n    '0.00' AS DECIMAL(38, 2)\n  ) AS adb_db, \n  CAST(\n    '0.00' AS DECIMAL(38, 0)\n  ) AS source_policy_count, \n  CAST(\n    '0.00' AS DECIMAL(38, 2)\n  ) AS source_base_policy_db, \n  CAST(\n    '0.00' AS DECIMAL(38, 2)\n  ) AS source_rider_db, \n  CAST(\n    '0.00' AS DECIMAL(38, 2)\n  ) AS source_adb_db, \n  CAST(\n    '0.00' AS DECIMAL(38, 2)\n  ) AS ga_av, \n  CAST(\n    '0.00' AS DECIMAL(38, 2)\n  ) AS sa_av, \n  CAST(\n    '0.00' AS DECIMAL(38, 2)\n  ) AS ga_cv, \n  CAST(\n    '0.00' AS DECIMAL(38, 2)\n  ) AS sa_cv, \n  CAST(\n    '0.00' AS DECIMAL(38, 2)\n  ) AS shadow_av, \n  CAST(\n    '0.00' AS DECIMAL(38, 2)\n  ) AS indexed_av, \n  CAST(\n    '0.00' AS DECIMAL(38, 2)\n  ) AS fixed_av, \n  CAST(\n    '0.00' AS DECIMAL(38, 2)\n  ) AS excess_min_prem_1, \n  CAST(\n    '0.00' AS DECIMAL(38, 2)\n  ) AS excess_min_prem_2, \n  CAST(\n    '0.00' AS DECIMAL(38, 2)\n  ) AS excess_min_prem_3, \n  CAST(\n    '0.00' AS DECIMAL(38, 2)\n  ) AS loan_value, \n  CAST(\n    '0.00' AS DECIMAL(38, 2)\n  ) AS loan_unearned_int, \n  sch.rlus_gaap_balance, \n  sch.tpa_gaap_balance, \n  sch.stat_balance, \n  sch.tax_balance, \n  sch.ny_basis_stat_balance, \n  sch.economic_balance, \n  sch.bma_balance, \n  sch.ics_balance, \n  sch.ifrs_balance \nFROM \n  BASE sch \nWHERE \n  val_date = (\n    SELECT \n      curr_val_date.val_date \n    FROM \n      curr_val_date\n  )\n"</t>
  </si>
  <si>
    <t>DL-ACT-PRO-ACTVAL-Input_BS_Topsides_SchRunOff-EBER</t>
  </si>
  <si>
    <t>lake_actval_input_bs_topsides_schrunoff_recproc</t>
  </si>
  <si>
    <t>/actval/recproc/Input_BS_Topsides_SchRunOff/*/Input_BS_Topsides_SchRunOff/</t>
  </si>
  <si>
    <t>Input_BS_Topsides_SchRunOff</t>
  </si>
  <si>
    <t>lake_actval_input_bs_topsides_schrunoff_base</t>
  </si>
  <si>
    <t>/actval/base/Input_BS_Topsides_SchRunOff/*/</t>
  </si>
  <si>
    <t>DL-ACT-PRO-ACTVAL-Input_BS_Topsides_SchRunOff-ELEB</t>
  </si>
  <si>
    <t>/actval/base/Input_BS_Topsides_SchRunOff/*/Input_BS_Topsides_SchRunOff/</t>
  </si>
  <si>
    <t>/actval/landing/Input_BS_Topsides_SchRunOff/*/Input_BS_Topsides_SchRunOff.csv</t>
  </si>
  <si>
    <t>DL-ACT-PRO-ACTVAL-Map_Balance_BS-EBEX</t>
  </si>
  <si>
    <t>lake_actval_map_balance_bs_lkup</t>
  </si>
  <si>
    <t>/actval/lookup/Map_Balance_BS/*/Map_Balance_BS/</t>
  </si>
  <si>
    <t>lake_actval_map_balance_bs_base</t>
  </si>
  <si>
    <t>/actval/base/Map_Balance_BS/</t>
  </si>
  <si>
    <t>DL-ACT-PRO-ACTVAL-Map_Balance_BS-EXCC</t>
  </si>
  <si>
    <t>"SELECT \n  DISTINCT CAST(src.balance_id AS INTEGER) AS balance_id, \n  balance, \n  balance_description, \n  upload, \n  associated_is_balance, \n  fas60_gaap_gross_bs_category, \n  fas60_gaap_ceded_bs_category, \n  fas60_gaap_dep_gross_bs_category, \n  fas60_gaap_dep_ceded_bs_category, \n  fas91_gaap_gross_bs_category, \n  fas91_gaap_ceded_bs_category, \n  fas91_gaap_dep_gross_bs_category, \n  fas91_gaap_dep_ceded_bs_category, \n  fas97_gaap_gross_bs_category, \n  fas97_gaap_ceded_bs_category, \n  fas97_gaap_dep_gross_bs_category, \n  fas97_gaap_dep_ceded_bs_category, \n  stat_bs_category, \n  tax_bs_category, \n  rider_category, \n  CAST(src.cft_modeled AS INTEGER) AS cft_modeled, \n  trend_category, \n  captive_display_category, \n  balance_type \nFROM \n  SOURCE src"</t>
  </si>
  <si>
    <t>DL-ACT-PRO-ACTVAL-Map_Balance_BS-ELEB</t>
  </si>
  <si>
    <t>/actval/base/Map_Balance_BS/*/Map_Balance_BS/</t>
  </si>
  <si>
    <t>/actval/landing/Map_Balance_BS/*/Map_Balance_BS.csv</t>
  </si>
  <si>
    <t>lake_actval_map_balance_bs_current</t>
  </si>
  <si>
    <t>/actval/current/Map_Balance_BS/*/Map_Balance_BS/</t>
  </si>
  <si>
    <t>/actval/lookup/Map_Balance_BS/</t>
  </si>
  <si>
    <t>DL-ENT-PRO-ACTVAL-Map_Balance_BS-CCER</t>
  </si>
  <si>
    <t>DL-ACT-PRO-ACTVAL-Map_Balance_IS-EBEX</t>
  </si>
  <si>
    <t>lake_actval_map_balance_is_lkup</t>
  </si>
  <si>
    <t>/actval/lookup/Map_Balance_IS/*/Map_Balance_IS/</t>
  </si>
  <si>
    <t>lake_actval_map_balance_is_base</t>
  </si>
  <si>
    <t>/actval/base/Map_Balance_IS/</t>
  </si>
  <si>
    <t>DL-ACT-PRO-ACTVAL-Map_Balance_IS-EXCC</t>
  </si>
  <si>
    <t>"SELECT \nDISTINCT CAST(src.balance_id AS INTEGER) AS balance_id, \nsrc.chg_in_balance_description, \nsrc.chg_in_balance_description_detailed, \nsrc.upload, \nsrc.fas60_gaap_is_category, \nsrc.fas60_gaap_deposit_is_category, \nsrc.fas91_gaap_is_category, \nsrc.fas91_gaap_deposit_is_category, \nsrc.fas97_gaap_is_category, \nsrc.fas97_gaap_deposit_is_category, \nsrc.stat_is_category, \nsrc.tax_is_category, \nsrc.rider_category,\nsrc.captive_display_category,\nCAST(src.cft_modeled AS INTEGER) AS cft_modeled, \nsrc.trend_category, \nsrc.balance_type, \nsrc.associated_is_balance\nFROM \nSOURCE src"</t>
  </si>
  <si>
    <t>DL-ACT-PRO-ACTVAL-Map_Balance_IS-ELEB</t>
  </si>
  <si>
    <t>/actval/base/Map_Balance_IS/*/Map_Balance_IS/</t>
  </si>
  <si>
    <t>/actval/landing/Map_Balance_IS/*/Map_Balance_IS.csv</t>
  </si>
  <si>
    <t>lake_actval_map_balance_is_current</t>
  </si>
  <si>
    <t>/actval/current/Map_Balance_IS/*/Map_Balance_IS/</t>
  </si>
  <si>
    <t>/actval/lookup/Map_Balance_IS/</t>
  </si>
  <si>
    <t>DL-ENT-PRO-ACTVAL-Map_Balance_IS-CCER</t>
  </si>
  <si>
    <t>DL-ACT-PRO-ACTVAL-Map_Block-EBEX</t>
  </si>
  <si>
    <t>lake_actval_map_block_lkup</t>
  </si>
  <si>
    <t>/actval/lookup/Map_Block/*/Map_Block/</t>
  </si>
  <si>
    <t>lake_actval_map_block_base</t>
  </si>
  <si>
    <t>/actval/base/Map_Block/</t>
  </si>
  <si>
    <t>DL-ACT-PRO-ACTVAL-Map_Block-EXCC</t>
  </si>
  <si>
    <t>"SELECT \n  DISTINCT CAST(src.block_id AS INTEGER) AS block_id, \n  valuation_block, \n  valuation_block_description, \n  direct_le, \n  direct_le_othr, \n  prod_type, \n  par_code, \n  insureds, \n  rlus_gaap_cohort, \n  tpa_gaap_cohort, \n  grp_srvconly, \n  grp_block, \n  grp_sub_block, \n  financing_deal, \n  CAST(src.cft_modeled AS INTEGER) AS cft_modeled, \n  ledger_segment, \n  ledger_product, \n  ledger_treaty \nFROM \n  SOURCE src"</t>
  </si>
  <si>
    <t>DL-ACT-PRO-ACTVAL-Map_Block-ELEB</t>
  </si>
  <si>
    <t>/actval/base/Map_Block/*/Map_Block/</t>
  </si>
  <si>
    <t>/actval/landing/Map_Block/*/Map_Block.csv</t>
  </si>
  <si>
    <t>lake_actval_map_block_current</t>
  </si>
  <si>
    <t>/actval/current/Map_Block/*/Map_Block/</t>
  </si>
  <si>
    <t>/actval/lookup/Map_Block/</t>
  </si>
  <si>
    <t>DL-ENT-PRO-ACTVAL-Map_Block-CCER</t>
  </si>
  <si>
    <t>DL-ACT-PRO-ACTVAL-Map_Company-EBEX</t>
  </si>
  <si>
    <t>lake_actval_map_company_lkup</t>
  </si>
  <si>
    <t>/actval/lookup/Map_Company/*/Map_Company/</t>
  </si>
  <si>
    <t>lake_actval_map_company_base</t>
  </si>
  <si>
    <t>/actval/base/Map_Company/</t>
  </si>
  <si>
    <t>DL-ACT-PRO-ACTVAL-Map_Company-EXCC</t>
  </si>
  <si>
    <t>"SELECT \n  DISTINCT CAST(src.company AS STRING) AS company,\n  CAST(src.company_description AS STRING) AS company_description\nFROM \n  SOURCE src"</t>
  </si>
  <si>
    <t>DL-ACT-PRO-ACTVAL-Map_Company-ELEB</t>
  </si>
  <si>
    <t>/actval/base/Map_Company/*/Map_Company/</t>
  </si>
  <si>
    <t>/actval/landing/Map_Company/*/Map_Company.csv</t>
  </si>
  <si>
    <t>lake_actval_map_company_current</t>
  </si>
  <si>
    <t>/actval/current/Map_Company/*/Map_Company/</t>
  </si>
  <si>
    <t>/actval/lookup/Map_Company/</t>
  </si>
  <si>
    <t>DL-ENT-PRO-ACTVAL-Map_Company-CCER</t>
  </si>
  <si>
    <t>DL-ACT-PRO-ACTVAL-Map_EntryType-EBEX</t>
  </si>
  <si>
    <t>lake_actval_map_entrytype_lkup</t>
  </si>
  <si>
    <t>/actval/lookup/Map_EntryType/*/Map_EntryType/</t>
  </si>
  <si>
    <t>lake_actval_map_entrytype_base</t>
  </si>
  <si>
    <t>/actval/base/Map_EntryType/</t>
  </si>
  <si>
    <t>DL-ACT-PRO-ACTVAL-Map_EntryType-EXCC</t>
  </si>
  <si>
    <t>"SELECT \n  DISTINCT CAST(src.entry_type AS STRING) AS entry_type, \n  CAST(\n    src.entry_type_description AS STRING\n  ) AS entry_type_description \nFROM \n  SOURCE src\n"</t>
  </si>
  <si>
    <t>DL-ACT-PRO-ACTVAL-Map_EntryType-ELEB</t>
  </si>
  <si>
    <t>/actval/base/Map_EntryType/*/Map_EntryType/</t>
  </si>
  <si>
    <t>/actval/landing/Map_EntryType/*/Map_EntryType.csv</t>
  </si>
  <si>
    <t>lake_actval_map_entrytype_current</t>
  </si>
  <si>
    <t>/actval/current/Map_EntryType/*/Map_EntryType/</t>
  </si>
  <si>
    <t>/actval/lookup/Map_EntryType/</t>
  </si>
  <si>
    <t>DL-ENT-PRO-ACTVAL-Map_EntryType-CCER</t>
  </si>
  <si>
    <t>DL-ACT-PRO-ACTVAL-Map_FinReins-EBEX</t>
  </si>
  <si>
    <t>lake_actval_map_finreins_lkup</t>
  </si>
  <si>
    <t>/actval/lookup/Map_FinReins/*/Map_FinReins/</t>
  </si>
  <si>
    <t>lake_actval_map_finreins_base</t>
  </si>
  <si>
    <t>/actval/base/Map_FinReins/</t>
  </si>
  <si>
    <t>DL-ACT-PRO-ACTVAL-Map_FinReins-EXCC</t>
  </si>
  <si>
    <t>"SELECT \n  DISTINCT CAST(src.valuation_block AS STRING) AS valuation_block, \n  CAST(src.subdeal_step AS STRING) AS subdeal_step, \n  CAST(src.subdeal AS STRING) AS subdeal \nFROM \n  SOURCE src"</t>
  </si>
  <si>
    <t>DL-ACT-PRO-ACTVAL-Map_FinReins-ELEB</t>
  </si>
  <si>
    <t>/actval/base/Map_FinReins/*/Map_FinReins/</t>
  </si>
  <si>
    <t>/actval/landing/Map_FinReins/*/Map_FinReins.csv</t>
  </si>
  <si>
    <t>lake_actval_map_finreins_current</t>
  </si>
  <si>
    <t>/actval/current/Map_FinReins/*/Map_FinReins/</t>
  </si>
  <si>
    <t>/actval/lookup/Map_FinReins/</t>
  </si>
  <si>
    <t>DL-ENT-PRO-ACTVAL-Map_FinReins-CCER</t>
  </si>
  <si>
    <t>DL-ACT-PRO-ACTVAL-Map_InputSource-EBEX</t>
  </si>
  <si>
    <t>lake_actval_map_inputsource_lkup</t>
  </si>
  <si>
    <t>/actval/lookup/Map_InputSource/*/Map_InputSource/</t>
  </si>
  <si>
    <t>lake_actval_map_inputsource_base</t>
  </si>
  <si>
    <t>/actval/base/Map_InputSource/</t>
  </si>
  <si>
    <t>DL-ACT-PRO-ACTVAL-Map_InputSource-EXCC</t>
  </si>
  <si>
    <t>"SELECT \n  DISTINCT CAST(src.input_source_id AS INTEGER) AS input_source_id, \n  CAST(src.input_source AS STRING) AS input_source, \n  CAST(src.input_source_type AS STRING) AS input_source_type , \n  CAST(src.required AS STRING) AS required, \n  CAST(src.frequency AS STRING) AS frequency, \n  CAST(src.description AS STRING) AS description \nFROM \n  SOURCE src\n"</t>
  </si>
  <si>
    <t>DL-ACT-PRO-ACTVAL-Map_InputSource-ELEB</t>
  </si>
  <si>
    <t>/actval/base/Map_InputSource/*/Map_InputSource/</t>
  </si>
  <si>
    <t>/actval/landing/Map_InputSource/*/Map_InputSource.csv</t>
  </si>
  <si>
    <t>lake_actval_map_inputsource_current</t>
  </si>
  <si>
    <t>/actval/current/Map_InputSource/*/Map_InputSource/</t>
  </si>
  <si>
    <t>/actval/lookup/Map_InputSource/</t>
  </si>
  <si>
    <t>DL-ENT-PRO-ACTVAL-Map_InputSource-CCER</t>
  </si>
  <si>
    <t>DL-ACT-PRO-ACTVAL-Map_InsCode-EBEX</t>
  </si>
  <si>
    <t>lake_actval_map_inscode_lkup</t>
  </si>
  <si>
    <t>/actval/lookup/Map_InsCode/*/Map_InsCode/</t>
  </si>
  <si>
    <t>lake_actval_map_inscode_base</t>
  </si>
  <si>
    <t>/actval/base/Map_InsCode/</t>
  </si>
  <si>
    <t>DL-ACT-PRO-ACTVAL-Map_InsCode-EXCC</t>
  </si>
  <si>
    <t>"SELECT \n  DISTINCT CAST(sch.dca_id AS INTEGER) AS dca_id, \n  CAST(sch.dca_ledger_code AS STRING) AS dca_ledger_code, \n  CAST(sch.dca AS STRING) AS dca\nFROM \n  SOURCE sch"</t>
  </si>
  <si>
    <t>DL-ACT-PRO-ACTVAL-Map_InsCode-ELEB</t>
  </si>
  <si>
    <t>/actval/base/Map_InsCode/*/Map_InsCode/</t>
  </si>
  <si>
    <t>/actval/landing/Map_InsCode/*/Map_InsCode.csv</t>
  </si>
  <si>
    <t>lake_actval_map_inscode_current</t>
  </si>
  <si>
    <t>/actval/current/Map_InsCode/*/Map_InsCode/</t>
  </si>
  <si>
    <t>/actval/lookup/Map_InsCode/</t>
  </si>
  <si>
    <t>DL-ENT-PRO-ACTVAL-Map_InsCode-CCER</t>
  </si>
  <si>
    <t>DL-ACT-PRO-ACTVAL-Map_LE-EBEX</t>
  </si>
  <si>
    <t>lake_actval_map_le_lkup</t>
  </si>
  <si>
    <t>/actval/lookup/Map_LE/*/Map_LE/</t>
  </si>
  <si>
    <t>lake_actval_map_le_base</t>
  </si>
  <si>
    <t>/actval/base/Map_LE/</t>
  </si>
  <si>
    <t>DL-ACT-PRO-ACTVAL-Map_LE-EXCC</t>
  </si>
  <si>
    <t>"SELECT DISTINCT \n  src.legal_entity, \n  src.le_description,\n  src.le_ledger_code,\n  src.company\nFROM \n  SOURCE src"</t>
  </si>
  <si>
    <t>DL-ACT-PRO-ACTVAL-Map_LE-ELEB</t>
  </si>
  <si>
    <t>/actval/base/Map_LE/*/Map_LE/</t>
  </si>
  <si>
    <t>/actval/landing/Map_LE/*/Map_LE.csv</t>
  </si>
  <si>
    <t>lake_actval_map_le_current</t>
  </si>
  <si>
    <t>/actval/current/Map_LE/*/Map_LE/</t>
  </si>
  <si>
    <t>/actval/lookup/Map_LE/</t>
  </si>
  <si>
    <t>DL-ENT-PRO-ACTVAL-Map_LE-CCER</t>
  </si>
  <si>
    <t>DL-ACT-PRO-ACTVAL-Map_ProdType-EBEX</t>
  </si>
  <si>
    <t>lake_actval_map_prodtype_lkup</t>
  </si>
  <si>
    <t>/actval/lookup/Map_ProdType/*/Map_ProdType/</t>
  </si>
  <si>
    <t>lake_actval_map_prodtype_base</t>
  </si>
  <si>
    <t>/actval/base/Map_ProdType/</t>
  </si>
  <si>
    <t>DL-ACT-PRO-ACTVAL-Map_ProdType-EXCC</t>
  </si>
  <si>
    <t>"SELECT \n  DISTINCT CAST(sch.prod_type AS STRING) AS prod_type, \n  CAST(sch.major_prod_type AS STRING) AS major_prod_type, \n  CAST(sch.lob AS STRING) AS lob, \n  CAST(sch.prod_type_stat_bs AS STRING) AS prod_type_stat_bs, \n  CAST(sch.prod_type_stat_notes AS STRING) AS prod_type_stat_notes, \n  CAST(sch.fas AS STRING) AS fas, \n  CAST(sch.prod_type_gaap_bs AS STRING) AS prod_type_gaap_bs, \n  CAST(sch.prod_type_moodys AS STRING) AS prod_type_moodys, \n  CAST(sch.prod_type_ambest AS STRING) AS prod_type_ambest, \n  CAST(sch.prod_type_fitch AS STRING) AS prod_type_fitch, \n  CAST(sch.prod_type_sp AS STRING) AS prod_type_sp\nFROM \n  SOURCE sch"</t>
  </si>
  <si>
    <t>DL-ACT-PRO-ACTVAL-Map_ProdType-ELEB</t>
  </si>
  <si>
    <t>/actval/base/Map_ProdType/*/Map_ProdType/</t>
  </si>
  <si>
    <t>/actval/landing/Map_ProdType/*/Map_ProdType.csv</t>
  </si>
  <si>
    <t>lake_actval_map_prodtype_current</t>
  </si>
  <si>
    <t>/actval/current/Map_ProdType/*/Map_ProdType/</t>
  </si>
  <si>
    <t>/actval/lookup/Map_ProdType/</t>
  </si>
  <si>
    <t>DL-ENT-PRO-ACTVAL-Map_ProdType-CCER</t>
  </si>
  <si>
    <t>DL-ACT-PRO-ACTVAL-Map_Product-EBEX</t>
  </si>
  <si>
    <t>lake_actval_map_product_lkup</t>
  </si>
  <si>
    <t>/actval/lookup/Map_Product/*/Map_Product/</t>
  </si>
  <si>
    <t>lake_actval_map_product_base</t>
  </si>
  <si>
    <t>/actval/base/Map_Product/</t>
  </si>
  <si>
    <t>DL-ACT-PRO-ACTVAL-Map_Product-EXCC</t>
  </si>
  <si>
    <t>"SELECT \n  DISTINCT CAST(src.product_code AS INTEGER) AS product_code, \n  CAST(src.product_description AS STRING) AS product_description, \n src.product\nFROM \n  SOURCE src"</t>
  </si>
  <si>
    <t>DL-ACT-PRO-ACTVAL-Map_Product-ELEB</t>
  </si>
  <si>
    <t>/actval/base/Map_Product/*/Map_Product/</t>
  </si>
  <si>
    <t>/actval/landing/Map_Product/*/Map_Product.csv</t>
  </si>
  <si>
    <t>lake_actval_map_product_current</t>
  </si>
  <si>
    <t>/actval/current/Map_Product/*/Map_Product/</t>
  </si>
  <si>
    <t>/actval/lookup/Map_Product/</t>
  </si>
  <si>
    <t>DL-ENT-PRO-ACTVAL-Map_Product-CCER</t>
  </si>
  <si>
    <t>DL-ACT-PRO-ACTVAL-Map_Reported-EBEX</t>
  </si>
  <si>
    <t>lake_actval_map_reported_lkup</t>
  </si>
  <si>
    <t>/actval/lookup/Map_Reported/*/Map_Reported/</t>
  </si>
  <si>
    <t>Map_Reported</t>
  </si>
  <si>
    <t>lake_actval_map_reported_base</t>
  </si>
  <si>
    <t>/actval/base/Map_Reported/</t>
  </si>
  <si>
    <t>DL-ACT-PRO-ACTVAL-Map_Reported-EXCC</t>
  </si>
  <si>
    <t>"SELECT \n  valuation_block, \n  company, \n  entry_type_rptd \nFROM \n  SOURCE\n"</t>
  </si>
  <si>
    <t>DL-ACT-PRO-ACTVAL-Map_Reported-ELEB</t>
  </si>
  <si>
    <t>/actval/base/Map_Reported/*/Map_Reported/</t>
  </si>
  <si>
    <t>/actval/landing/Map_Reported/*/Map_Reported.csv</t>
  </si>
  <si>
    <t>lake_actval_map_reported_current</t>
  </si>
  <si>
    <t>/actval/current/Map_Reported/*/Map_Reported/</t>
  </si>
  <si>
    <t>/actval/lookup/Map_Reported/</t>
  </si>
  <si>
    <t>DL-ENT-PRO-ACTVAL-Map_Reported-CCER</t>
  </si>
  <si>
    <t>DL-ACT-PRO-ACTVAL-Map_Segment-EBEX</t>
  </si>
  <si>
    <t>lake_actval_map_segment_lkup</t>
  </si>
  <si>
    <t>/actval/lookup/Map_Segment/*/Map_Segment/</t>
  </si>
  <si>
    <t>lake_actval_map_segment_base</t>
  </si>
  <si>
    <t>/actval/base/Map_Segment/</t>
  </si>
  <si>
    <t>DL-ACT-PRO-ACTVAL-Map_Segment-EXCC</t>
  </si>
  <si>
    <t>"SELECT \n  DISTINCT CAST(src.segment_code AS INTEGER) AS segment_code, \n  CAST(src.segment AS STRING) AS segment, \n  CAST(src.segment_description AS STRING) AS segment_description\nFROM \n  SOURCE src\n"</t>
  </si>
  <si>
    <t>DL-ACT-PRO-ACTVAL-Map_Segment-ELEB</t>
  </si>
  <si>
    <t>/actval/base/Map_Segment/*/Map_Segment/</t>
  </si>
  <si>
    <t>/actval/landing/Map_Segment/*/Map_Segment.csv</t>
  </si>
  <si>
    <t>lake_actval_map_segment_current</t>
  </si>
  <si>
    <t>/actval/current/Map_Segment/*/Map_Segment/</t>
  </si>
  <si>
    <t>/actval/lookup/Map_Segment/</t>
  </si>
  <si>
    <t>DL-ENT-PRO-ACTVAL-Map_Segment-CCER</t>
  </si>
  <si>
    <t>DL-ACT-PRO-ACTVAL-Map_Source_Balance-EBEX</t>
  </si>
  <si>
    <t>lake_actval_map_source_balance_lkup</t>
  </si>
  <si>
    <t>/actval/lookup/Map_Source_Balance/*/Map_Source_Balance/</t>
  </si>
  <si>
    <t>lake_actval_map_source_balance_base</t>
  </si>
  <si>
    <t>/actval/base/Map_Source_Balance/</t>
  </si>
  <si>
    <t>DL-ACT-PRO-ACTVAL-Map_Source_Balance-EXCC</t>
  </si>
  <si>
    <t>"SELECT \n  DISTINCT CAST(src.input_source_id AS INTEGER) AS input_source_id, \n  CAST(src.input_source AS STRING) AS input_source, \n  CAST(src.balance AS STRING) AS balance, \n  CAST(src.exp_plan AS INTEGER) AS exp_plan, \n  CAST(src.exp_frcst AS INTEGER) AS exp_frcst, \n  CAST(src.act_acclclose AS INTEGER) AS act_acclclose, \n  CAST(src.act_actual AS INTEGER) AS act_actual \nFROM \n  SOURCE src"</t>
  </si>
  <si>
    <t>DL-ACT-PRO-ACTVAL-Map_Source_Balance-ELEB</t>
  </si>
  <si>
    <t>/actval/base/Map_Source_Balance/*/Map_Source_Balance/</t>
  </si>
  <si>
    <t>/actval/landing/Map_Source_Balance/*/Map_Source_Balance.csv</t>
  </si>
  <si>
    <t>lake_actval_map_source_balance_current</t>
  </si>
  <si>
    <t>/actval/current/Map_Source_Balance/*/Map_Source_Balance/</t>
  </si>
  <si>
    <t>/actval/lookup/Map_Source_Balance/</t>
  </si>
  <si>
    <t>DL-ENT-PRO-ACTVAL-Map_Source_Balance-CCER</t>
  </si>
  <si>
    <t>DL-ACT-PRO-ACTVAL-Map_SubDeal-EBEX</t>
  </si>
  <si>
    <t>lake_actval_map_subdeal_lkup</t>
  </si>
  <si>
    <t>/actval/lookup/Map_SubDeal/*/Map_SubDeal/</t>
  </si>
  <si>
    <t>lake_actval_map_subdeal_base</t>
  </si>
  <si>
    <t>/actval/base/Map_SubDeal/</t>
  </si>
  <si>
    <t>DL-ACT-PRO-ACTVAL-Map_SubDeal-EXCC</t>
  </si>
  <si>
    <t>"\nSELECT \n  DISTINCT CAST(src.sub_deal_id AS INTEGER) AS sub_deal_id, \n  sub_deal, \n  ceding_segment, \n  assuming_segment, \n  ceding_le, \n  assuming_le, \n  reins_type, \n  ic_reins, \n  CAST(\n    src.ceded_factor AS DECIMAL(5,2)\n  ) AS ceded_factor, \n  CAST(\n    TRIM(src.gaap_mult) AS DECIMAL(5,2)\n  ) AS gaap_mult, \n  CAST(TRIM(src.cft_modeled) AS INTEGER) AS cft_modeled, \n  finreinsflag, \n  ceding_gaap_reins_class, \n  ceding_stat_reins_class, \n  assuming_gaap_reins_class, \n  assuming_stat_reins_class, \n  exclusion_type \nFROM \n  SOURCE src"</t>
  </si>
  <si>
    <t>DL-ACT-PRO-ACTVAL-Map_SubDeal-ELEB</t>
  </si>
  <si>
    <t>/actval/base/Map_SubDeal/*/Map_SubDeal/</t>
  </si>
  <si>
    <t>/actval/landing/Map_SubDeal/*/Map_SubDeal.csv</t>
  </si>
  <si>
    <t>lake_actval_map_subdeal_current</t>
  </si>
  <si>
    <t>/actval/current/Map_SubDeal/*/Map_SubDeal/</t>
  </si>
  <si>
    <t>/actval/lookup/Map_SubDeal/</t>
  </si>
  <si>
    <t>DL-ENT-PRO-ACTVAL-Map_SubDeal-CCER</t>
  </si>
  <si>
    <t>DL-ACT-PRO-ACTVAL-Map_SummaryCombos-EBEX</t>
  </si>
  <si>
    <t>lake_actval_map_summarycombos_lkup</t>
  </si>
  <si>
    <t>/actval/lookup/Map_SummaryCombos/*/Map_SummaryCombos/</t>
  </si>
  <si>
    <t>Map_SummaryCombos</t>
  </si>
  <si>
    <t>lake_actval_map_summarycombos_base</t>
  </si>
  <si>
    <t>/actval/base/Map_SummaryCombos/</t>
  </si>
  <si>
    <t>DL-ACT-PRO-ACTVAL-Map_SummaryCombos-EXCC</t>
  </si>
  <si>
    <t>DL-ACT-PRO-ACTVAL-Map_SummaryCombos-ELEB</t>
  </si>
  <si>
    <t>/actval/base/Map_SummaryCombos/*/Map_SummaryCombos/</t>
  </si>
  <si>
    <t>/actval/landing/Map_SummaryCombos/*/Map_SummaryCombos.csv</t>
  </si>
  <si>
    <t>lake_actval_map_summarycombos_current</t>
  </si>
  <si>
    <t>/actval/current/Map_SummaryCombos/*/Map_SummaryCombos/</t>
  </si>
  <si>
    <t>/actval/lookup/Map_SummaryCombos/</t>
  </si>
  <si>
    <t>DL-ENT-PRO-ACTVAL-Map_SummaryCombos-CCER</t>
  </si>
  <si>
    <t>DL-ACT-PRO-ACTVAL-Map_Topside_Approach-EBEX</t>
  </si>
  <si>
    <t>lake_actval_map_topside_approach_lkup</t>
  </si>
  <si>
    <t>/actval/lookup/Map_TopsideApproach/*/Map_TopsideApproach/</t>
  </si>
  <si>
    <t>Map_Topside_Approach</t>
  </si>
  <si>
    <t>lake_actval_map_topside_approach_base</t>
  </si>
  <si>
    <t>/actval/base/Map_TopsideApproach/</t>
  </si>
  <si>
    <t>" SOURCE"</t>
  </si>
  <si>
    <t>DL-ACT-PRO-ACTVAL-Map_Topside_Approach-EXCC</t>
  </si>
  <si>
    <t>"SELECT \n  DISTINCT CAST(src.topside_approach_id AS INTEGER) AS topside_approach_id, \n  CAST(src.topside_approach AS STRING) AS topside_approach\nFROM \n  SOURCE src\n"</t>
  </si>
  <si>
    <t>DL-ACT-PRO-ACTVAL-Map_Topside_Approach-ELEB</t>
  </si>
  <si>
    <t>/actval/base/Map_TopsideApproach/*/Map_TopsideApproach/</t>
  </si>
  <si>
    <t>/actval/landing/Map_TopsideApproach/*/Map_TopsideApproach.csv</t>
  </si>
  <si>
    <t>lake_actval_map_topside_approach_current</t>
  </si>
  <si>
    <t>/actval/current/Map_Topside_Approach/*/Map_Topside_Approach/</t>
  </si>
  <si>
    <t>/actval/lookup/Map_Topside_Approach/</t>
  </si>
  <si>
    <t>DL-ENT-PRO-ACTVAL-Map_Topside_Approach-CCER</t>
  </si>
  <si>
    <t>DL-ACT-PRO-ACTVAL-Map_Topside_Group-EBEX</t>
  </si>
  <si>
    <t>lake_actval_map_topside_group_lkup</t>
  </si>
  <si>
    <t>/actval/lookup/Map_Topside_Group/*/Map_Topside_Group/</t>
  </si>
  <si>
    <t>Map_Topside_Group</t>
  </si>
  <si>
    <t>lake_actval_map_topside_group_base</t>
  </si>
  <si>
    <t>/actval/base/Map_Topside_Group/</t>
  </si>
  <si>
    <t>DL-ACT-PRO-ACTVAL-Map_Topside_Group-EXCC</t>
  </si>
  <si>
    <t>"SELECT \n  DISTINCT CAST(src.group_id AS INTEGER) AS group_id, \n  CAST(src.topside_group AS STRING) AS topside_group\nFROM \n  SOURCE src"</t>
  </si>
  <si>
    <t>DL-ACT-PRO-ACTVAL-Map_Topside_Group-ELEB</t>
  </si>
  <si>
    <t>/actval/base/Map_Topside_Group/*/Map_Topside_Group/</t>
  </si>
  <si>
    <t>/actval/landing/Map_Topside_Group/*/Map_Topside_Group.csv</t>
  </si>
  <si>
    <t>lake_actval_map_topside_group_current</t>
  </si>
  <si>
    <t>/actval/current/Map_Topside_Group/*/Map_Topside_Group/</t>
  </si>
  <si>
    <t>/actval/lookup/Map_Topside_Group/</t>
  </si>
  <si>
    <t>DL-ENT-PRO-ACTVAL-Map_Topside_Group-CCER</t>
  </si>
  <si>
    <t>DL-ACT-PRO-ACTVAL-Meta_DataDictionary-ELEB</t>
  </si>
  <si>
    <t>lake_actval_meta_datadictionary_base</t>
  </si>
  <si>
    <t>/actval/base/Meta_DataDictionary/*/Meta_DataDictionary/</t>
  </si>
  <si>
    <t>Meta_DataDictionary</t>
  </si>
  <si>
    <t>/actval/landing/Meta_DataDictionary/*/Meta_DataDictionary.csv</t>
  </si>
  <si>
    <t>DL-ACT-PRO-ACTVAL-Summary_BS_Topsides_Merged-EJCC</t>
  </si>
  <si>
    <t>lake_actval_summary_bs_topsides_merged_current</t>
  </si>
  <si>
    <t>/actval/current/Summary_BS_Topsides_Merged/*/Summary_BS_Topsides_Merged/</t>
  </si>
  <si>
    <t>Summary_BS_Topsides_Merged</t>
  </si>
  <si>
    <t>lake_actval_summary_bs_topsides_merged_join</t>
  </si>
  <si>
    <t>actval/join/Summary_BS_Topsides_Merged/</t>
  </si>
  <si>
    <t>/actval/join/Summary_BS_Topsides_Merged/*/</t>
  </si>
  <si>
    <t>lake_actval_historical_bs_topsides_merged_join|lake_actval_current_bs_topsides_merged_join</t>
  </si>
  <si>
    <t>actval/join/Historical_BS_Topsides_Merged|actval/join/Current_BS_Topsides_Merged</t>
  </si>
  <si>
    <t>HIST|CURR</t>
  </si>
  <si>
    <t>"WITH merged AS (\n  SELECT \n    h.* \n  FROM \n    HIST h \n  UNION ALL \n  SELECT \n    c.* \n  FROM \n    CURR c\n) \nSELECT \n  m.* \nFROM \n  merged m \nORDER BY \n  m.val_date DESC, \n  m.topside_approach, \n  m.valuation_block, \n  m.balance\n"</t>
  </si>
  <si>
    <t>DL-ACT-PRO-ACTVAL-Val_Acct_BS_RLUS-EBER</t>
  </si>
  <si>
    <t>lake_actval_Val_Acct_BS_RLUS_recproc</t>
  </si>
  <si>
    <t>/actval/recproc/Val_Acct_BS_RLUS/*/</t>
  </si>
  <si>
    <t>Val_Acct_BS_RLUS</t>
  </si>
  <si>
    <t>lake_actval_Val_Acct_BS_RLUS_base</t>
  </si>
  <si>
    <t>/actval/base/Val_Acct_BS_RLUS/*/</t>
  </si>
  <si>
    <t>DL-ACT-PRO-ACTVAL-Val_Acct_BS_RLUS-ERCC</t>
  </si>
  <si>
    <t>"SELECT Val_Date,Company,Legal_Entity,Valuation_Block,Input_Source,DCA_Code,GAAP_Reins_Class,STAT_Reins_Class,IC_Reins,Sub_Deal,Balance_Description, Chg_in_Bal_Description, RLUS_GAAP_Balance as RLUS_GAAP_Balance ,TPA_GAAP_Balance as TPA_GAAP_Balance, STAT_Balance as STAT_Balance,Tax_Balance as Tax_Balance, Affiliate_LE,Upload_Entry_Ind,Ledger_Segment,Ledger_Product,Ledger_Cohort  from SOURCE"</t>
  </si>
  <si>
    <t>DL-ACT-PRO-ACTVAL-Val_Acct_BS_RLUS-ELEB</t>
  </si>
  <si>
    <t>/actval/landing/Val_Acct_BS_RLUS/*/Val_Acct_BS_RLUS.csv</t>
  </si>
  <si>
    <t>Select * FROM SOURCE</t>
  </si>
  <si>
    <t>lake_actval_Val_Acct_BS_RLUS_current</t>
  </si>
  <si>
    <t>/actval/current/Val_Acct_BS_RLUS/*/</t>
  </si>
  <si>
    <t>DL-ENT-PRO-ACTVAL-Val_Acct_BS_RLUS-CCER</t>
  </si>
  <si>
    <t>DL-ACT-PRO-ACTVAL-Val_Acct_BS_Voya-EBER</t>
  </si>
  <si>
    <t>lake_actval_Val_Acct_BS_Voya_recproc</t>
  </si>
  <si>
    <t>/actval/recproc/Val_Acct_BS_Voya/*/</t>
  </si>
  <si>
    <t>Val_Acct_BS_Voya</t>
  </si>
  <si>
    <t>lake_actval_Val_Acct_BS_Voya_base</t>
  </si>
  <si>
    <t>/actval/base/Val_Acct_BS_Voya/*/</t>
  </si>
  <si>
    <t>DL-ACT-PRO-ACTVAL-Val_Acct_BS_Voya-ERCC</t>
  </si>
  <si>
    <t>"SELECT Val_Date,Company,Legal_Entity,Valuation_Block,Input_Source,DCA_Code,GAAP_Reins_Class,STAT_Reins_Class,IC_Reins,Sub_Deal,Balance_Description, Chg_in_Bal_Description,RLUS_GAAP_Balance as RLUS_GAAP_Balance, TPA_GAAP_Balance as TPA_GAAP_Balance, STAT_Balance as STAT_Balance, Tax_Balance as Tax_Balance, Affiliate_LE,Upload_Entry_Ind,Ledger_Segment,Ledger_Product,Ledger_Cohort FROM  SOURCE src"</t>
  </si>
  <si>
    <t>DL-ACT-PRO-ACTVAL-Val_Acct_BS_Voya-ELEB</t>
  </si>
  <si>
    <t>/actval/landing/Val_Acct_BS_Voya/*/Val_Acct_BS_Voya.csv</t>
  </si>
  <si>
    <t>"Select * FROM SOURCE "</t>
  </si>
  <si>
    <t>lake_actval_Val_Acct_BS_Voya_current</t>
  </si>
  <si>
    <t>/actval/current/Val_Acct_BS_Voya/*/</t>
  </si>
  <si>
    <t>DL-ENT-PRO-ACTVAL-Val_Acct_BS_Voya-CCER</t>
  </si>
  <si>
    <t>DynDB_JobMetadata</t>
  </si>
  <si>
    <t>Exported DynamoDB Job Configurations from the LAKE.ACTUARIAL.PROPHET.JOB.METADATA Table</t>
  </si>
  <si>
    <t>Last Updated:</t>
  </si>
  <si>
    <t>ELEB</t>
  </si>
  <si>
    <t>EBEX</t>
  </si>
  <si>
    <t>EXCC</t>
  </si>
  <si>
    <t>Pipeline</t>
  </si>
  <si>
    <t>Table</t>
  </si>
  <si>
    <t>Unique Tables</t>
  </si>
  <si>
    <t>Row Labels</t>
  </si>
  <si>
    <t>Grand Total</t>
  </si>
  <si>
    <t>EBER</t>
  </si>
  <si>
    <t>EREJ</t>
  </si>
  <si>
    <t>EJCC</t>
  </si>
  <si>
    <t>ERCC</t>
  </si>
  <si>
    <t>ERER</t>
  </si>
  <si>
    <t>EJEJ</t>
  </si>
  <si>
    <t>Data Dictionary for each table and its respective fields.</t>
  </si>
  <si>
    <t>Map_Balance_Disc</t>
  </si>
  <si>
    <t>Process_Topsides_SchRunoff</t>
  </si>
  <si>
    <t>Process_ComboExcld_Balance_BS</t>
  </si>
  <si>
    <t>Process_ComboExcld_Balance_IS</t>
  </si>
  <si>
    <t>Process_ComboExcld_SubDeal_BS</t>
  </si>
  <si>
    <t>Process_ComboExcld_SubDeal_IS</t>
  </si>
  <si>
    <t>Process_ComboExcld_Custom_BS</t>
  </si>
  <si>
    <t>Process_ComboExcld_Custom_IS</t>
  </si>
  <si>
    <t>Process_Custom_BS</t>
  </si>
  <si>
    <t>Process_Custom_IS</t>
  </si>
  <si>
    <t>Input_BS_Topsides_QtrLag_Adj</t>
  </si>
  <si>
    <t>Input_BS_Prophet_VoyaBlock_Seriatim_Actual</t>
  </si>
  <si>
    <t>Input_BS_Prophet_VoyaBlock_Seriatim_Plan</t>
  </si>
  <si>
    <t>Input_BS_Prophet_VoyaBlock_Seriatim_Frcst</t>
  </si>
  <si>
    <t>Input_BS_Prophet_VoyaBlock_RLUSCohort_Plan</t>
  </si>
  <si>
    <t>Input_BS_Prophet_VoyaBlock_RLUSCohort_Frcst</t>
  </si>
  <si>
    <t>Input_BS_Prophet_VoyaBlock_RLUSCohort_AcclClose</t>
  </si>
  <si>
    <t>Input_BS_Prophet_VoyaBlock_RLUSCohort_Actual</t>
  </si>
  <si>
    <t>Input_BS_Prophet_VoyaBlock_RLUSGPV_Actual</t>
  </si>
  <si>
    <t>Input_BS_Prophet_VoyaBlock_VoyaCohort_AcclClose</t>
  </si>
  <si>
    <t>Input_BS_Prophet_VoyaBlock_VoyaCohort_Actual</t>
  </si>
  <si>
    <t>Input_BS_Prophet_VoyaBlock_VoyaGPV_Actual</t>
  </si>
  <si>
    <t>Input_IS_Prophet_VoyaBlock_Seriatim_Plan</t>
  </si>
  <si>
    <t>Input_IS_Prophet_VoyaBlock_Seriatim_Frcst</t>
  </si>
  <si>
    <t>Input_IS_Prophet_VoyaBlock_RLUSCohort_Plan</t>
  </si>
  <si>
    <t>Input_IS_Prophet_VoyaBlock_RLUSCohort_Frcst</t>
  </si>
  <si>
    <t>Input_IS_Prophet_VoyaBlock_Seriatim_Actual</t>
  </si>
  <si>
    <t>Input_IS_Prophet_VoyaBlock_RLUSCohort_AcclClose</t>
  </si>
  <si>
    <t>Input_IS_Prophet_VoyaBlock_RLUSCohort_Actual</t>
  </si>
  <si>
    <t>Input_IS_Prophet_VoyaBlock_VoyaCohort_AcclClose</t>
  </si>
  <si>
    <t>Input_IS_Prophet_VoyaBlock_VoyaCohort_Actual</t>
  </si>
  <si>
    <t>Input_IS_Topsides_Othr</t>
  </si>
  <si>
    <t>Summary_Val_Acct_BS</t>
  </si>
  <si>
    <t>Summary_Val_Acct_IS</t>
  </si>
  <si>
    <t>Summary_Val_Acct_Disc</t>
  </si>
  <si>
    <t>Report_Val_Acct_BS_RLUS</t>
  </si>
  <si>
    <t>Report_Val_Acct_IS_RLUS</t>
  </si>
  <si>
    <t>Report_Val_Acct_Disc_RLUS</t>
  </si>
  <si>
    <t>Report_Val_Acct_BS_Voya</t>
  </si>
  <si>
    <t>Report_Val_Acct_IS_Voya</t>
  </si>
  <si>
    <t>Report_Val_Acct_Disc_Voya</t>
  </si>
  <si>
    <t>Report_Val_Acct_BS_Ven</t>
  </si>
  <si>
    <t>Report_Val_Acct_IS_Ven</t>
  </si>
  <si>
    <t>Name</t>
  </si>
  <si>
    <t>RefersToLocal</t>
  </si>
  <si>
    <t>Comment</t>
  </si>
  <si>
    <t>Visible</t>
  </si>
  <si>
    <t>Local name</t>
  </si>
  <si>
    <t>Error</t>
  </si>
  <si>
    <t>External link</t>
  </si>
  <si>
    <t>Relative</t>
  </si>
  <si>
    <t>3-D</t>
  </si>
  <si>
    <t>Areas</t>
  </si>
  <si>
    <t>Cells</t>
  </si>
  <si>
    <t>UnUsed</t>
  </si>
  <si>
    <t>RefersToRange</t>
  </si>
  <si>
    <t>DynDB_JobMetadata!ExternalData_1</t>
  </si>
  <si>
    <t>=DynDB_JobMetadata!$A$8:$AB$111</t>
  </si>
  <si>
    <t>Not checked</t>
  </si>
  <si>
    <t>[RLUS_ASTP_DataModel.xlsm]DynDB_JobMetadata!$A$8:$AB$111</t>
  </si>
  <si>
    <t>rngValDate</t>
  </si>
  <si>
    <t>=Input!$C$5</t>
  </si>
  <si>
    <t>Workbook Scoped Named Range for the Current/Latest Evaluation Date</t>
  </si>
  <si>
    <t>[RLUS_ASTP_DataModel.xlsm]Input!$C$5</t>
  </si>
  <si>
    <t>Field Display Name</t>
  </si>
  <si>
    <t>Field Used Name</t>
  </si>
  <si>
    <t>Date Type</t>
  </si>
  <si>
    <t>Required</t>
  </si>
  <si>
    <t>Nullable</t>
  </si>
  <si>
    <t>Unique</t>
  </si>
  <si>
    <t>ID</t>
  </si>
  <si>
    <t>Data Element Category</t>
  </si>
  <si>
    <t>Calc_Num2Dec</t>
  </si>
  <si>
    <t>Calc_Num</t>
  </si>
  <si>
    <t>Calc_Date</t>
  </si>
  <si>
    <t>Calc_Gen</t>
  </si>
  <si>
    <t>Calc_Percent</t>
  </si>
  <si>
    <t>Calc_Percent1Dec</t>
  </si>
  <si>
    <t>Calc_Percent2Dec</t>
  </si>
  <si>
    <t>Calc_Text</t>
  </si>
  <si>
    <t>Calc_Currency</t>
  </si>
  <si>
    <t>Calc_Currency2Dec</t>
  </si>
  <si>
    <t>Input_Num</t>
  </si>
  <si>
    <t>Input_TextWrap</t>
  </si>
  <si>
    <t>Input_Num2Dec</t>
  </si>
  <si>
    <t>Input_Date</t>
  </si>
  <si>
    <t>Input_Gen</t>
  </si>
  <si>
    <t>Input_Percent</t>
  </si>
  <si>
    <t>Input_Percent1Dec</t>
  </si>
  <si>
    <t>Input_Percent2Dec</t>
  </si>
  <si>
    <t>Input_Text</t>
  </si>
  <si>
    <t>Input_Currency</t>
  </si>
  <si>
    <t>Input_Currency2Dec</t>
  </si>
  <si>
    <t>Inputs</t>
  </si>
  <si>
    <t>Parameters</t>
  </si>
  <si>
    <t>Outputs</t>
  </si>
  <si>
    <t>Calculations</t>
  </si>
  <si>
    <t>Boundaries</t>
  </si>
  <si>
    <t>20% - Accent1</t>
  </si>
  <si>
    <t>20% - Accent2</t>
  </si>
  <si>
    <t>20% - Accent3</t>
  </si>
  <si>
    <t>20% - Accent4</t>
  </si>
  <si>
    <t>20% - Accent5</t>
  </si>
  <si>
    <t>20% - Accent6</t>
  </si>
  <si>
    <t>40% - Accent1</t>
  </si>
  <si>
    <t>40% - Accent2</t>
  </si>
  <si>
    <t>40% - Accent3</t>
  </si>
  <si>
    <t>40% - Accent4</t>
  </si>
  <si>
    <t>40% - Accent5</t>
  </si>
  <si>
    <t>40% - Accent6</t>
  </si>
  <si>
    <t>60% - Accent1</t>
  </si>
  <si>
    <t>60% - Accent2</t>
  </si>
  <si>
    <t>60% - Accent3</t>
  </si>
  <si>
    <t>60% - Accent4</t>
  </si>
  <si>
    <t>60% - Accent5</t>
  </si>
  <si>
    <t>60% - Accent6</t>
  </si>
  <si>
    <t>Accent1</t>
  </si>
  <si>
    <t>Accent2</t>
  </si>
  <si>
    <t>Accent3</t>
  </si>
  <si>
    <t>Accent4</t>
  </si>
  <si>
    <t>Accent5</t>
  </si>
  <si>
    <t>Accent6</t>
  </si>
  <si>
    <t>Bad</t>
  </si>
  <si>
    <t>Calculation</t>
  </si>
  <si>
    <t>Check Cell</t>
  </si>
  <si>
    <t>Comma</t>
  </si>
  <si>
    <t>Comma [0]</t>
  </si>
  <si>
    <t>Currency</t>
  </si>
  <si>
    <t>Currency [0]</t>
  </si>
  <si>
    <t>Explanatory Text</t>
  </si>
  <si>
    <t>Followed Hyperlink</t>
  </si>
  <si>
    <t>Good</t>
  </si>
  <si>
    <t>Heading 1</t>
  </si>
  <si>
    <t>Heading 2</t>
  </si>
  <si>
    <t>Heading 3</t>
  </si>
  <si>
    <t>Heading 4</t>
  </si>
  <si>
    <t>Hyperlink</t>
  </si>
  <si>
    <t>Linked Cell</t>
  </si>
  <si>
    <t>Neutral</t>
  </si>
  <si>
    <t>Normal</t>
  </si>
  <si>
    <t>Note</t>
  </si>
  <si>
    <t>Output</t>
  </si>
  <si>
    <t>Percent</t>
  </si>
  <si>
    <t>Title</t>
  </si>
  <si>
    <t>Total</t>
  </si>
  <si>
    <t>Warning Text</t>
  </si>
  <si>
    <t>BuiltIn</t>
  </si>
  <si>
    <t>Style Name</t>
  </si>
  <si>
    <t>Example</t>
  </si>
  <si>
    <t>Type</t>
  </si>
  <si>
    <t>Configuration - Styles</t>
  </si>
  <si>
    <t>Workbook Cell Styles</t>
  </si>
  <si>
    <t>Table Styles</t>
  </si>
  <si>
    <t>Cell Styles</t>
  </si>
  <si>
    <t>Cell Styles - Types</t>
  </si>
  <si>
    <t>Style Type</t>
  </si>
  <si>
    <t xml:space="preserve">SELECT DISTINCT 
    CAST(
        src.val_date AS DATE
    ) AS val_date, 
    src.val_qtr, 
    CAST(
        src.topside_id AS INTEGER
    ) AS topside_id, 
    src.valuation_block,
    src.balance, 
    src.input_source,
    src.input_source_description,
    src.input_source_metadata,
    CAST(
        src.runoff_start_date AS DATE
    ) AS runoff_start_date,
    CAST(
        src.runoff_quarters AS INTEGER
    ) AS runoff_quarters, 
    CAST(
        src.runoff_finish_date AS DATE
    ) AS runoff_finish_date, 
    src.quarter_type,
    CAST(
        src.runoff_pattern AS INTEGER
    ) AS runoff_pattern,
    CAST(
        src.rlus_gaap_balance AS DECIMAL(38,2)
    ) AS rlus_gaap_balance,
    CAST(
        src.tpa_gaap_balance AS DECIMAL(38, 2)
    ) AS tpa_gaap_balance, 
    CAST(
        src.stat_balance AS DECIMAL(38, 2)
    ) AS stat_balance, 
    CAST(
        src.tax_balance AS DECIMAL(38, 2)
    ) AS tax_balance, 
    CAST(
        src.ny_basis_stat_balance AS DECIMAL(38, 2)
    ) AS ny_basis_stat_balance, 
    CAST(
        src.economic_balance AS DECIMAL(38, 2)
    ) AS economic_balance, 
    CAST(
        src.bma_balance AS DECIMAL(38, 2)
    ) AS bma_balance, 
    CAST(
        src.ics_balance AS DECIMAL(38, 2)
    ) AS ics_balance, 
    CAST(
        src.ifrs_balance AS DECIMAL(38, 2)
    ) AS ifrs_balance 
FROM 
  SOURCE src
</t>
  </si>
  <si>
    <t xml:space="preserve">WITH qtrlag AS ( SELECT qtr.val_date, qtr.valuation_block, qtr.balance, qtr.input_source, qtr.input_source_description, qtr.input_source_metadata, 'Quarter Lag' AS topsides_approach, qtr.policy_count, qtr.base_policy_db, qtr.rider_db, qtr.adb_db, qtr.source_policy_count, qtr.source_base_policy_db, qtr.source_rider_db, qtr.source_adb_db, qtr.ga_av, qtr.sa_av, qtr.ga_cv, qtr.sa_cv, qtr.shadow_av, qtr.indexed_av, qtr.fixed_av, qtr.excess_min_prem_1, qtr.excess_min_prem_2, qtr.excess_min_prem_3, qtr.loan_value, qtr.loan_unearned_int, qtr.rlus_gaap_balance, qtr.tpa_gaap_balance, qtr.stat_balance, qtr.tax_balance, qtr.ny_basis_stat_balance, qtr.economic_balance, qtr.bma_balance, qtr.ics_balance, qtr.ifrs_balance FROM QTRLAGTBL qtr ), schrunoff AS ( SELECT sch.val_date, sch.valuation_block, sch.balance, sch.input_source, sch.input_source_description, sch.input_source_metadata, 'Scheduled RunOff' AS topsides_approach, sch.policy_count, sch.base_policy_db, sch.rider_db, sch.adb_db, sch.source_policy_count, sch.source_base_policy_db, sch.source_rider_db, sch.source_adb_db, sch.ga_av, sch.sa_av, sch.ga_cv, sch.sa_cv, sch.shadow_av, sch.indexed_av, sch.fixed_av, sch.excess_min_prem_1, sch.excess_min_prem_2, sch.excess_min_prem_3, sch.loan_value, sch.loan_unearned_int, sch.rlus_gaap_balance, sch.tpa_gaap_balance, sch.stat_balance, sch.tax_balance, sch.ny_basis_stat_balance, sch.economic_balance, sch.bma_balance, sch.ics_balance, sch.ifrs_balance FROM SCHRUNOFFTBL sch ), other AS ( SELECT othr.val_date, othr.valuation_block, othr.balance, othr.input_source, othr.input_source_description, othr.input_source_metadata, 'Other' AS topsides_approach, othr.policy_count, othr.base_policy_db, othr.rider_db, othr.adb_db, othr.source_policy_count, othr.source_base_policy_db, othr.source_rider_db, othr.source_adb_db, othr.ga_av, othr.sa_av, othr.ga_cv, othr.sa_cv, othr.shadow_av, othr.indexed_av, othr.fixed_av, othr.excess_min_prem_1, othr.excess_min_prem_2, othr.excess_min_prem_3, othr.loan_value, othr.loan_unearned_int, othr.rlus_gaap_balance, othr.tpa_gaap_balance, othr.stat_balance, othr.tax_balance, othr.ny_basis_stat_balance, othr.economic_balance, othr.bma_balance, othr.ics_balance, othr.ifrs_balance FROM OTHERTBL othr ), merged AS ( SELECT * FROM qtrlag UNION ALL SELECT * FROM other UNION ALL SELECT * FROM schrunoff ) SELECT DISTINCT merged.val_date, merged.valuation_block, merged.balance, merged.input_source, merged.input_source_description, merged.input_source_metadata, merged.topsides_approach, SUM(merged.policy_count) AS policy_count, SUM(merged.base_policy_db) AS base_policy_db, SUM(merged.rider_db) AS rider_db, SUM(merged.adb_db) AS adb_db, SUM(merged.source_policy_count) AS source_policy_count, SUM(merged.source_base_policy_db) AS source_base_policy_db, SUM(merged.source_rider_db) AS source_rider_db, SUM(merged.source_adb_db) AS source_adb_db, SUM(merged.ga_av) AS ga_av, SUM(merged.sa_av) AS sa_av, SUM(merged.ga_cv) AS ga_cv, SUM(merged.sa_cv) AS sa_cv, SUM(merged.shadow_av) AS shadow_av, SUM(merged.indexed_av) AS indexed_av, SUM(merged.fixed_av) AS fixed_av, SUM(merged.excess_min_prem_1) AS excess_min_prem_1, SUM(merged.excess_min_prem_2) AS excess_min_prem_2, SUM(merged.excess_min_prem_3) AS excess_min_prem_3, SUM(merged.loan_value) AS loan_value, SUM(merged.loan_unearned_int) AS loan_unearned_int, SUM(merged.rlus_gaap_balance) AS rlus_gaap_balance, SUM(merged.tpa_gaap_balance) AS tpa_gaap_balance, SUM(merged.stat_balance) AS stat_balance, SUM(merged.tax_balance) AS tax_balance, SUM(merged.ny_basis_stat_balance) AS ny_basis_stat_balance, SUM(merged.economic_balance) AS economic_balance, SUM(merged.bma_balance) AS bma_balance, SUM(merged.ics_balance) AS ics_balance, SUM(merged.ifrs_balance) AS ifrs_balance FROM merged GROUP BY merged.val_date, merged.valuation_block, merged.balance, merged.input_source, merged.input_source_description, merged.input_source_metadata, merged.topsides_approach ORDER BY merged.val_date, merged.topsides_approach, merged.valuation_block, merged.balance
</t>
  </si>
  <si>
    <t xml:space="preserve">SELECT
  qtr.val_date, 
  qtr.valuation_block, 
  qtr.balance, 
  qtr.input_source_description AS tpa, 
  qtr.input_source_metadata,
  qtra.input_source_metadata AS input_source_metadata_actuals,  
  qtr.policy_count, 
  qtra.policy_count AS policy_count_actual, 
  qtra.policy_count - qtr.policy_count AS policy_count_diff, 
  qtr.base_policy_db, 
  qtra.base_policy_db AS base_policy_db_actual, 
  qtra.base_policy_db - qtr.base_policy_db AS base_policy_db_diff, 
  qtr.rider_db, 
  qtra.rider_db AS rider_db_actual, 
  qtra.rider_db - qtr.rider_db AS rider_db_diff, 
  qtr.adb_db, 
  qtra.adb_db AS adb_db_actual, 
  qtra.adb_db - qtr.adb_db AS adb_db_diff, 
  qtr.source_policy_count, 
  qtra.source_policy_count AS source_policy_count_actual, 
  qtra.source_policy_count - qtr.source_policy_count AS source_policy_count_diff, 
  qtr.source_base_policy_db, 
  qtra.source_base_policy_db AS source_base_policy_db_actual, 
  qtra.source_base_policy_db - qtr.source_base_policy_db AS source_base_policy_db_diff, 
  qtr.source_rider_db, 
  qtra.source_rider_db AS source_rider_db_actual, 
  qtra.source_rider_db - qtr.source_rider_db AS source_rider_db_diff, 
  qtr.source_adb_db, 
  qtra.source_adb_db AS source_adb_db_actual, 
  qtra.source_adb_db - qtr.source_adb_db AS source_adb_db_diff, 
  qtr.ga_av, 
  qtra.ga_av AS ga_av_actual, 
  qtra.ga_av - qtr.ga_av AS ga_av_diff, 
  qtr.sa_av, 
  qtra.sa_av AS sa_av_actual, 
  qtra.sa_av - qtr.sa_av AS sa_av_diff, 
  qtr.ga_cv, 
  qtra.ga_cv AS ga_cv_actual, 
  qtra.ga_cv - qtr.ga_cv AS ga_cv_diff, 
  qtr.sa_cv, 
  qtra.sa_cv AS sa_cv_actual, 
  qtra.sa_cv - qtr.sa_cv AS sa_cv_diff, 
  qtr.shadow_av,
  qtra.shadow_av AS shadow_av_actual, 
  qtra.shadow_av - qtr.shadow_av AS shadow_av_diff, 
  qtr.indexed_av,
  qtra.indexed_av AS indexed_av_actual, 
  qtra.indexed_av - qtr.indexed_av AS indexed_av_diff,
  qtr.fixed_av, 
  qtra.fixed_av AS fixed_av_actual, 
  qtra.fixed_av - qtr.fixed_av AS fixed_av_diff, 
  qtr.excess_min_prem_1, 
  qtra.excess_min_prem_1 AS excess_min_prem_1_actual, 
  qtra.excess_min_prem_1 - qtr.excess_min_prem_1 AS excess_min_prem_1_diff, 
  qtr.excess_min_prem_2, 
  qtra.excess_min_prem_2 AS excess_min_prem_2_actual, 
  qtra.excess_min_prem_2 - qtr.excess_min_prem_2 AS excess_min_prem_2_diff, 
  qtr.excess_min_prem_3, 
  qtra.excess_min_prem_3 AS excess_min_prem_3_actual, 
  qtra.excess_min_prem_3 - qtr.excess_min_prem_3 AS excess_min_prem_3_diff, 
  qtr.loan_value, 
  qtra.loan_value AS loan_value_actual, 
  qtra.loan_value - qtr.loan_value AS loan_value_diff, 
  qtr.loan_unearned_int, 
  qtra.loan_unearned_int AS loan_unearned_int_actual, 
  qtra.loan_unearned_int - qtr.loan_unearned_int AS loan_unearned_int_diff, 
  qtr.rlus_gaap_balance, 
  qtra.rlus_gaap_balance AS rlus_gaap_balance_actual, 
  qtra.rlus_gaap_balance - qtr.rlus_gaap_balance AS gaap_balance_diff, 
  qtr.tpa_gaap_balance, 
  qtra.tpa_gaap_balance AS tpa_gaap_balance_actual, 
  qtra.tpa_gaap_balance - qtr.tpa_gaap_balance AS tpa_gaap_balance_diff, 
  qtr.stat_balance, 
  qtra.stat_balance AS stat_balance_actual, 
  qtra.stat_balance - qtr.stat_balance AS stat_balance_diff, 
  qtr.tax_balance, 
  qtra.tax_balance AS tax_balance_actual, 
  qtra.tax_balance - qtr.tax_balance AS tax_balance_diff, 
  qtr.ny_basis_stat_balance, 
  qtra.ny_basis_stat_balance AS ny_basis_stat_balance_actual, 
  qtra.ny_basis_stat_balance - qtr.ny_basis_stat_balance AS ny_basis_stat_balance_diff, 
  qtr.economic_balance, 
  qtra.economic_balance AS economic_balance_actual, 
  qtra.economic_balance - qtr.economic_balance AS economic_balance_diff, 
  qtr.bma_balance, 
  qtra.bma_balance AS bma_balance_actual, 
  qtra.bma_balance - qtr.bma_balance AS bma_balance_diff,
  qtr.ics_balance,
  qtra.ics_balance AS ics_balance_actual,
  qtra.ics_balance - qtr.ics_balance AS ics_balance_diff,
  qtr.ifrs_balance,
  qtra.ifrs_balance AS ifrs_balance_actual,
  qtra.ifrs_balance - qtr.ifrs_balance AS ifrs_balance_diff   
FROM 
  QTRLAG qtr, 
  QTRLAGACTUALS qtra 
WHERE 
  qtr.val_date = qtra.val_date 
  AND qtr.valuation_block = qtra.valuation_block 
  AND qtr.balance = qtra.balance
</t>
  </si>
  <si>
    <t xml:space="preserve">WITH qtrlag AS (
  SELECT 
    qtr.val_date, 
    qtr.valuation_block, 
    qtr.balance, 
    qtr.input_source, 
    qtr.input_source_description, 
    qtr.input_source_metadata, 
    'Quarter Lag' AS topside_approach, 
    qtr.policy_count, 
    qtr.base_policy_db, 
    qtr.rider_db, 
    qtr.adb_db, 
    qtr.source_policy_count, 
    qtr.source_base_policy_db, 
    qtr.source_rider_db, 
    qtr.source_adb_db, 
    qtr.ga_av, 
    qtr.sa_av, 
    qtr.ga_cv, 
    qtr.sa_cv, 
    qtr.shadow_av, 
    qtr.indexed_av, 
    qtr.fixed_av, 
    qtr.excess_min_prem_1, 
    qtr.excess_min_prem_2, 
    qtr.excess_min_prem_3, 
    qtr.loan_value, 
    qtr.loan_unearned_int, 
    qtr.rlus_gaap_balance, 
    qtr.tpa_gaap_balance, 
    qtr.stat_balance, 
    qtr.tax_balance, 
    qtr.ny_basis_stat_balance, 
    qtr.economic_balance, 
    qtr.bma_balance, 
    qtr.ics_balance, 
    qtr.ifrs_balance 
  FROM 
    QTRLAGTBL qtr
), 
schrunoff AS (
  SELECT 
    sch.val_date, 
    sch.valuation_block, 
    sch.balance, 
    sch.input_source, 
    sch.input_source_description, 
    sch.input_source_metadata, 
    'Scheduled RunOff' AS topside_approach, 
    CAST(
      '0.00' AS DECIMAL(38, 0)
    ) AS policy_count, 
    CAST(
      '0.00' AS DECIMAL(38, 2)
    ) AS base_policy_db, 
    CAST(
      '0.00' AS DECIMAL(38, 2)
    ) AS rider_db, 
    CAST(
      '0.00' AS DECIMAL(38, 2)
    ) AS adb_db, 
    CAST(
      '0.00' AS DECIMAL(38, 0)
    ) AS source_policy_count, 
    CAST(
      '0.00' AS DECIMAL(38, 2)
    ) AS source_base_policy_db, 
    CAST(
      '0.00' AS DECIMAL(38, 2)
    ) AS source_rider_db, 
    CAST(
      '0.00' AS DECIMAL(38, 2)
    ) AS source_adb_db, 
    CAST(
      '0.00' AS DECIMAL(38, 2)
    ) AS ga_av, 
    CAST(
      '0.00' AS DECIMAL(38, 2)
    ) AS sa_av, 
    CAST(
      '0.00' AS DECIMAL(38, 2)
    ) AS ga_cv, 
    CAST(
      '0.00' AS DECIMAL(38, 2)
    ) AS sa_cv, 
    CAST(
      '0.00' AS DECIMAL(38, 2)
    ) AS shadow_av, 
    CAST(
      '0.00' AS DECIMAL(38, 2)
    ) AS indexed_av, 
    CAST(
      '0.00' AS DECIMAL(38, 2)
    ) AS fixed_av, 
    CAST(
      '0.00' AS DECIMAL(38, 2)
    ) AS excess_min_prem_1, 
    CAST(
      '0.00' AS DECIMAL(38, 2)
    ) AS excess_min_prem_2, 
    CAST(
      '0.00' AS DECIMAL(38, 2)
    ) AS excess_min_prem_3, 
    CAST(
      '0.00' AS DECIMAL(38, 2)
    ) AS loan_value, 
    CAST(
      '0.00' AS DECIMAL(38, 2)
    ) AS loan_unearned_int, 
    sch.rlus_gaap_balance, 
    sch.tpa_gaap_balance, 
    sch.stat_balance, 
    sch.tax_balance, 
    sch.ny_basis_stat_balance, 
    sch.economic_balance, 
    sch.bma_balance, 
    sch.ics_balance, 
    sch.ifrs_balance 
  FROM 
    SCHRUNOFFTBL sch
  WHERE 
    sch.val_date IN (
      SELECT 
        DISTINCT q.val_date val_date 
      FROM 
        qtrlag q
    )
), 
other AS (
  SELECT 
    othr.val_date, 
    othr.valuation_block, 
    othr.balance, 
    othr.input_source, 
    othr.input_source_description, 
    othr.input_source_metadata, 
    'Other' AS topside_approach, 
    othr.policy_count, 
    othr.base_policy_db, 
    othr.rider_db, 
    othr.adb_db, 
    othr.source_policy_count, 
    othr.source_base_policy_db, 
    othr.source_rider_db, 
    othr.source_adb_db, 
    othr.ga_av, 
    othr.sa_av, 
    othr.ga_cv, 
    othr.sa_cv, 
    othr.shadow_av, 
    othr.indexed_av, 
    othr.fixed_av, 
    othr.excess_min_prem_1, 
    othr.excess_min_prem_2, 
    othr.excess_min_prem_3, 
    othr.loan_value, 
    othr.loan_unearned_int, 
    othr.rlus_gaap_balance, 
    othr.tpa_gaap_balance, 
    othr.stat_balance, 
    othr.tax_balance, 
    othr.ny_basis_stat_balance, 
    othr.economic_balance, 
    othr.bma_balance, 
    othr.ics_balance, 
    othr.ifrs_balance 
  FROM 
    OTHERTBL othr 
), 
merged AS (
  SELECT 
    * 
  FROM 
    qtrlag 
  UNION ALL 
  SELECT 
    * 
  FROM 
    other 
  UNION ALL 
  SELECT 
    * 
  FROM 
    schrunoff
) 
SELECT 
  DISTINCT 
  merged.val_date, 
  merged.valuation_block, 
  merged.balance, 
  merged.input_source, 
  merged.input_source_description, 
  merged.input_source_metadata, 
  merged.topside_approach, 
  SUM(merged.policy_count) AS policy_count, 
  SUM(merged.base_policy_db) AS base_policy_db, 
  SUM(merged.rider_db) AS rider_db, 
  SUM(merged.adb_db) AS adb_db, 
  SUM(merged.source_policy_count) AS source_policy_count, 
  SUM(merged.source_base_policy_db) AS source_base_policy_db, 
  SUM(merged.source_rider_db) AS source_rider_db, 
  SUM(merged.source_adb_db) AS source_adb_db, 
  SUM(merged.ga_av) AS ga_av, 
  SUM(merged.sa_av) AS sa_av, 
  SUM(merged.ga_cv) AS ga_cv, 
  SUM(merged.sa_cv) AS sa_cv, 
  SUM(merged.shadow_av) AS shadow_av, 
  SUM(merged.indexed_av) AS indexed_av, 
  SUM(merged.fixed_av) AS fixed_av, 
  SUM(merged.excess_min_prem_1) AS excess_min_prem_1, 
  SUM(merged.excess_min_prem_2) AS excess_min_prem_2, 
  SUM(merged.excess_min_prem_3) AS excess_min_prem_3, 
  SUM(merged.loan_value) AS loan_value, 
  SUM(merged.loan_unearned_int) AS loan_unearned_int, 
  SUM(merged.rlus_gaap_balance) AS rlus_gaap_balance, 
  SUM(merged.tpa_gaap_balance) AS tpa_gaap_balance, 
  SUM(merged.stat_balance) AS stat_balance, 
  SUM(merged.tax_balance) AS tax_balance, 
  SUM(merged.ny_basis_stat_balance) AS ny_basis_stat_balance, 
  SUM(merged.economic_balance) AS economic_balance, 
  SUM(merged.bma_balance) AS bma_balance, 
  SUM(merged.ics_balance) AS ics_balance, 
  SUM(merged.ifrs_balance) AS ifrs_balance 
FROM 
  merged 
GROUP BY 
  merged.val_date, 
  merged.valuation_block, 
  merged.balance, 
  merged.input_source, 
  merged.input_source_description, 
  merged.input_source_metadata, 
  merged.topside_approach 
ORDER BY 
  merged.val_date DESC, 
  merged.topside_approach, 
  merged.valuation_block, 
  merged.balance
</t>
  </si>
  <si>
    <t>SELECT DISTINCT 
  CAST(
    src.val_date AS DATE
  ) AS val_date, 
  src.valuation_block, 
  src.balance, 
  src.input_source, 
  src.input_source_description,
  src.input_source_metadata, 
  CAST(
    src.policy_count AS DECIMAL(38, 0)
  ) AS policy_count, 
  CAST(
    src.base_policy_db AS DECIMAL(38, 2)
  ) AS base_policy_db, 
  CAST(
    src.rider_db AS DECIMAL(38, 2)
  ) AS rider_db, 
  CAST(
    src.adb_db AS DECIMAL(38, 2)
  ) AS adb_db, 
  CAST(
    src.source_policy_count AS DECIMAL(38, 0)
  ) AS source_policy_count, 
  CAST(
    src.source_base_policy_db AS DECIMAL(38, 2)
  ) AS source_base_policy_db, 
  CAST(
    src.source_rider_db AS DECIMAL(38, 2)
  ) AS source_rider_db, 
  CAST(
    src.source_adb_db AS DECIMAL(38, 2)
  ) AS source_adb_db, 
  CAST(
    src.ga_av AS DECIMAL(38, 2)
  ) AS ga_av, 
  CAST(
    src.sa_av AS DECIMAL(38, 2)
  ) AS sa_av, 
  CAST(
    src.ga_cv AS DECIMAL(38, 2)
  ) AS ga_cv, 
  CAST(
    src.sa_cv AS DECIMAL(38, 2)
  ) AS sa_cv, 
  CAST(
    src.shadow_av AS DECIMAL(38, 2)
  ) AS shadow_av, 
  CAST(
    src.indexed_av AS DECIMAL(38, 2)
  ) AS indexed_av, 
  CAST(
    src.fixed_av AS DECIMAL(38, 2)
  ) AS fixed_av, 
  CAST(
    src.excess_min_prem_1 AS DECIMAL(38, 2)
  ) AS excess_min_prem_1, 
  CAST(
    src.excess_min_prem_2 AS DECIMAL(38, 2)
  ) AS excess_min_prem_2, 
  CAST(
    src.excess_min_prem_3 AS DECIMAL(38, 2)
  ) AS excess_min_prem_3, 
  CAST(
    src.loan_value AS DECIMAL(38, 2)
  ) AS loan_value, 
  CAST(
    src.loan_unearned_int AS DECIMAL(38, 2)
  ) AS loan_unearned_int, 
  CAST(
    src.rlus_gaap_balance AS DECIMAL(38, 2)
  ) AS rlus_gaap_balance, 
  CAST(
    src.tpa_gaap_balance AS DECIMAL(38, 2)
  ) AS tpa_gaap_balance, 
  CAST(
    src.stat_balance AS DECIMAL(38, 2)
  ) AS stat_balance, 
  CAST(
    src.tax_balance AS DECIMAL(38, 2)
  ) AS tax_balance, 
  CAST(
    src.ny_basis_stat_balance AS DECIMAL(38, 2)
  ) AS ny_basis_stat_balance, 
  CAST(
    src.economic_balance AS DECIMAL(38, 2)
  ) AS economic_balance, 
  CAST(
    src.bma_balance AS DECIMAL(38, 2)
  ) AS bma_balance, 
  CAST(
    src.ics_balance AS DECIMAL(38, 2)
  ) AS ics_balance, 
  CAST(
    src.ifrs_balance AS DECIMAL(38, 2)
  ) AS ifrs_balance 
FROM 
  SOURCE src</t>
  </si>
  <si>
    <t>SELECT DISTINCT 
    CAST(
        src.val_date AS DATE
    ) AS val_date, 
    src.val_qtr, 
    CAST(
        src.topside_id AS INTEGER
    ) AS topside_id, 
    src.valuation_block,
    src.balance, 
    src.input_source,
    src.input_source_description,
    src.input_source_metadata,
    CAST(
        src.runoff_start_date AS DATE
    ) AS runoff_start_date,
    CAST(
        src.runoff_quarters AS INTEGER
    ) AS runoff_quarters, 
    CAST(
        src.runoff_finish_date AS DATE
    ) AS runoff_finish_date, 
    src.quarter_type,
    CAST(
        src.runoff_pattern AS INTEGER
    ) AS runoff_pattern,
    CAST(
        src.rlus_gaap_balance AS DECIMAL(38,2)
    ) AS rlus_gaap_balance,
    CAST(
        src.tpa_gaap_balance AS DECIMAL(38, 2)
    ) AS tpa_gaap_balance, 
    CAST(
        src.stat_balance AS DECIMAL(38, 2)
    ) AS stat_balance, 
    CAST(
        src.tax_balance AS DECIMAL(38, 2)
    ) AS tax_balance, 
    CAST(
        src.ny_basis_stat_balance AS DECIMAL(38, 2)
    ) AS ny_basis_stat_balance, 
    CAST(
        src.economic_balance AS DECIMAL(38, 2)
    ) AS economic_balance, 
    CAST(
        src.bma_balance AS DECIMAL(38, 2)
    ) AS bma_balance, 
    CAST(
        src.ics_balance AS DECIMAL(38, 2)
    ) AS ics_balance, 
    CAST(
        src.ifrs_balance AS DECIMAL(38, 2)
    ) AS ifrs_balance 
FROM 
  SOURCE src</t>
  </si>
  <si>
    <t xml:space="preserve">WITH merged AS (
	SELECT DISTINCT 
		qtr.* 
	FROM QTRLAG qtr 
	UNION 
	SELECT DISTINCT 
		sch.val_date, 
		sch.block_id, 
		sch.balance_id, 
		sch.source_id, 
		sch.valuation_block, 
		sch.balance, 
		'Historical_TopsideSchRunOff' AS input_source, 
		sch.source_detail AS input_source_detail, 
		sch.eol_policy_count, 
		sch.eol_base_policy_db, 
		sch.eol_rider_db, 
		sch.eol_adb_db, 
		sch.source_policy_count, 
		sch.source_base_policy_db, 
		sch.source_rider_db, 
		sch.source_adb_db, 
		sch.ga_av, 
		sch.sa_av, 
		sch.ga_cv, 
		sch.sa_cv, 
		sch.shadow_av_1, 
		sch.shadow_av_2, 
		sch.shadow_av_3, 
		sch.excess_min_prem_1, 
		sch.excess_min_prem_2,
		sch.excess_min_prem_3,
		sch.loan_value, 
		sch.loan_unearned_int,
		sch.gaap_balance,
		sch.tpa_gaap_balance,
		sch.stat_balance,
		sch.tax_balance, 
		sch.ny_basis_stat_balance, 
		sch.economic_balance, 
		sch.bma_balance, 
		sch.monthlybatchid 
	FROM SCHRUNOFF sch
)
SELECT 
	* 
FROM merged m 
WHERE m.block_id IS NOT NULL AND 
	m.balance_id IS NOT NULL AND 
	source_id IS NOT NULL 
ORDER BY m.source_id, m.val_date
</t>
  </si>
  <si>
    <t xml:space="preserve">SELECT 
  Cast(
    TRIM(src.valuation_date) AS DATE
  ) AS val_date, 
  Cast(
    TRIM(src.block_id) AS INT
  ) AS block_id, 
  Cast(
    TRIM(src.balance_id) AS INT
  ) AS balance_id, 
  Cast(
    TRIM(src.source_id) AS INT
  ) AS source_id, 
  TRIM(src.valuation_block) AS valuation_block, 
  TRIM(src.balance) AS balance, 
  TRIM(src.input_source) AS input_source, 
  TRIM(src.input_source_detail) AS input_source_detail, 
  Cast(
    TRIM(src.eol_policy_count) AS DECIMAL(38, 0)
  ) AS eol_policy_count, 
  Cast(
    TRIM(src.eol_base_policy_db) AS DECIMAL(38, 2)
  ) AS eol_base_policy_db, 
  Cast(
    TRIM(src.eol_rider_db) AS DECIMAL(38, 2)
  ) AS eol_rider_db, 
  Cast(
    TRIM(src.eol_adb_db) AS DECIMAL(38, 2)
  ) AS eol_adb_db, 
  Cast(
    TRIM(src.source_policy_count) AS DECIMAL(38, 0)
  ) AS source_policy_count, 
  Cast(
    TRIM(src.source_base_policy_db) AS DECIMAL(38, 2)
  ) AS source_base_policy_db, 
  Cast(
    TRIM(src.source_rider_db) AS DECIMAL(38, 2)
  ) AS source_rider_db, 
  Cast(
    TRIM(src.source_adb_db) AS DECIMAL(38, 2)
  ) AS source_adb_db, 
  Cast(
    TRIM(src.ga_av) AS DECIMAL(38, 2)
  ) AS ga_av, 
  Cast(
    TRIM(src.sa_av) AS DECIMAL(38, 2)
  ) AS sa_av, 
  Cast(
    TRIM(src.ga_cv) AS DECIMAL(38, 2)
  ) AS ga_cv, 
  Cast(
    TRIM(src.sa_cv) AS DECIMAL(38, 2)
  ) AS sa_cv, 
  Cast(
    TRIM(src.shadow_av_1) AS DECIMAL(38, 2)
  ) AS shadow_av_1, 
  Cast(
    TRIM(src.shadow_av_2) AS DECIMAL(38, 2)
  ) AS shadow_av_2, 
  Cast(
    TRIM(src.shadow_av_3) AS DECIMAL(38, 2)
  ) AS shadow_av_3, 
  Cast(
    TRIM(src.excess_min_prem_1) AS DECIMAL(38, 2)
  ) AS excess_min_prem_1, 
  Cast(
    TRIM(src.excess_min_prem_2) AS DECIMAL(38, 2)
  ) AS excess_min_prem_2, 
  Cast(
    TRIM(src.excess_min_prem_3) AS DECIMAL(38, 2)
  ) AS excess_min_prem_3, 
  Cast(
    TRIM(src.loan_value) AS DECIMAL(38, 2)
  ) AS loan_value, 
  Cast(
    TRIM(src.loan_unearned_int) AS DECIMAL(38, 2)
  ) AS loan_unearned_int, 
  Cast(
    TRIM(src.gaap_balance) AS DECIMAL(38, 2)
  ) AS gaap_balance, 
  Cast(
    TRIM(src.tpa_gaap_balance) AS DECIMAL(38, 2)
  ) AS tpa_gaap_balance, 
  Cast(
    TRIM(src.stat_balance) AS DECIMAL(38, 2)
  ) AS stat_balance, 
  Cast(
    TRIM(src.tax_balance) AS DECIMAL(38, 2)
  ) AS tax_balance, 
  Cast(
    TRIM(src.ny_basis_stat_balance) AS DECIMAL(38, 2)
  ) AS ny_basis_stat_balance, 
  Cast(
    TRIM(src.economic_balance) AS DECIMAL(38, 2)
  ) AS economic_balance, 
  Cast(
    TRIM(src.bma_balance) AS DECIMAL(38, 2)
  ) AS bma_balance 
FROM 
  SOURCE src
</t>
  </si>
  <si>
    <t xml:space="preserve">SELECT 
  CAST(src.valuation_date AS DATE) AS val_date, 
  CAST(src.valuation_quarter AS STRING) AS val_qtr, 
  CAST(src.topside_id AS INTEGER) AS topside_id, 
  CAST(src.block_id AS INTEGER) AS block_id, 
  CAST(src.balance_id AS INTEGER) AS balance_id, 
  CAST(src.source_id AS INTEGER) AS source_id, 
  CAST(src.runoff_start_date AS DATE) AS runoff_start_date, 
  CAST(src.runoff_quarters AS INTEGER) AS runoff_quarters, 
  CAST(src.runoff_finish_date AS DATE) AS runoff_finish_date, 
  CAST(src.quarter_type AS STRING) AS quarter_type, 
  CAST(src.runoff_pattern AS INTEGER) AS runoff_pattern, 
  CAST(src.valuation_block AS STRING) AS valuation_block, 
  CAST(src.balance AS STRING) AS balance, 
  CAST(src.source_detail AS STRING) AS source_detail, 
  CAST(
    '0' AS DECIMAL(38, 0)
  ) AS eol_policy_count, 
  CAST(
    '0' AS DECIMAL(38, 2)
  ) AS eol_base_policy_db, 
  CAST(
    '0' AS DECIMAL(38, 2)
  ) AS eol_rider_db, 
  CAST(
    '0' AS DECIMAL(38, 2)
  ) AS eol_adb_db, 
  CAST(
    '0' AS DECIMAL(38, 0)
  ) AS source_policy_count, 
  CAST(
    '0' AS DECIMAL(38, 2)
  ) AS source_base_policy_db, 
  CAST(
    '0' AS DECIMAL(38, 2)
  ) AS source_rider_db, 
  CAST(
    '0' AS DECIMAL(38, 2)
  ) AS source_adb_db, 
  CAST(
    '0' AS DECIMAL(38, 2)
  ) AS ga_av, 
  CAST(
    '0' AS DECIMAL(38, 2)
  ) AS sa_av, 
  CAST(
    '0' AS DECIMAL(38, 2)
  ) AS ga_cv, 
  CAST(
    '0' AS DECIMAL(38, 2)
  ) AS sa_cv, 
  CAST(
    '0' AS DECIMAL(38, 2)
  ) AS shadow_av_1, 
  CAST(
    '0' AS DECIMAL(38, 2)
  ) AS shadow_av_2, 
  CAST(
    '0' AS DECIMAL(38, 2)
  ) AS shadow_av_3, 
  CAST(
    '0' AS DECIMAL(38, 2)
  ) AS excess_min_prem_1, 
  CAST(
    '0' AS DECIMAL(38, 2)
  ) AS excess_min_prem_2, 
  CAST(
    '0' AS DECIMAL(38, 2)
  ) AS excess_min_prem_3, 
  CAST(
    '0' AS DECIMAL(38, 2)
  ) AS loan_value, 
  CAST(
    '0' AS DECIMAL(38, 2)
  ) AS loan_unearned_int, 
  CAST(
    TRIM(src.gaap_balance) AS DECIMAL(38, 2)
  ) AS gaap_balance, 
  CAST(
    TRIM(src.tpa_gaap_balance) AS DECIMAL(38, 2)
  ) AS tpa_gaap_balance, 
  CAST(
    TRIM(src.stat_balance) AS DECIMAL(38, 2)
  ) AS stat_balance, 
  CAST(
    TRIM(src.tax_balance) AS DECIMAL(38, 2)
  ) AS tax_balance, 
  CAST(
    TRIM(src.ny_basis_stat_balance) AS DECIMAL(38, 2)
  ) AS ny_basis_stat_balance, 
  CAST(
    TRIM(src.economic_balance) AS DECIMAL(38, 2)
  ) AS economic_balance, 
  CAST(
    TRIM(src.bma_balance) AS DECIMAL(38, 2)
  ) AS bma_balance 
FROM 
  SOURC src
</t>
  </si>
  <si>
    <t xml:space="preserve">SELECT 
  CAST(src.val_date AS DATE) AS val_date, 
  CAST(src.val_qtr AS STRING) AS valuation_quarter, 
  CAST(src.entry_type AS STRING) AS entry_type, 
  CAST(src.company AS STRING) AS company, 
  CAST(src.fas AS STRING) AS fas, 
  CAST(src.legal_entity AS STRING) AS legal_entity, 
  CAST(src.lob AS STRING) AS lob, 
  CAST(src.major_prod_type AS STRING) AS major_prod_type, 
  CAST(src.prod_type AS STRING) AS product_type, 
  CAST(src.valuation_block AS STRING) AS valuation_block, 
  CAST(src.direct_le AS STRING) AS direct_le, 
  CAST(src.rlus_gaap_cohort AS STRING) AS rlus_gaap_cohort, 
  CAST(src.tpa_gaap_cohort AS STRING) AS tpa_gaap_cohort, 
  CAST(src.grp_service AS STRING) AS grp_service, 
  CAST(src.grp_block AS STRING) AS grp_block, 
  CAST(src.grp_sub_block AS STRING) AS grp_sub_block, 
  CAST(src.par_code AS STRING) AS par_code, 
  CAST(src.insureds AS STRING) AS insureds, 
  CAST(src.input_source AS STRING) AS input_source, 
  CAST(src.input_source_description AS STRING) AS input_source_description, 
  CAST(src.input_source_meta_data AS STRING) AS input_source_meta_data, 
  CAST(src.dca_code AS STRING) AS dca_code, 
  CAST(src.reins_type AS STRING) AS reins_type, 
  CAST(src.gaap_reins_class AS STRING) AS gaap_reins_class, 
  CAST(src.stat_reins_class AS STRING) AS stat_reins_class, 
  CAST(src.ic_reins AS STRING) AS ic_reins, 
  CAST(src.financing_deal AS STRING) AS financing_deal, 
  CAST(src.sub_deal AS STRING) AS sub_deal, 
  CAST(src.balance_description AS STRING) AS balance_description, 
  CAST(src.chg_in_bal_description AS STRING) AS chg_in_bal_description, 
  CAST(src.policy_count AS INTEGER) AS policy_count, 
  CAST(
    TRIM(src.base_policy_db) AS DECIMAL(38, 2)
  ) AS base_policy_db, 
  CAST(
    TRIM(src.rider_db) AS DECIMAL(38, 2)
  ) AS rider_db, 
  CAST(
    TRIM(src.adb_db) AS DECIMAL(38, 2)
  ) AS adb_db, 
  CAST(src.source_policy_count AS DECIMAL(38, 0)) AS source_policy_count, 
  CAST(
    TRIM(src.source_base_policy_db) AS DECIMAL(38, 2)
  ) AS source_base_policy_db, 
  CAST(
    TRIM(src.source_rider_db) AS DECIMAL(38, 2)
  ) AS source_rider_db, 
  CAST(
    TRIM(src.source_adb_db) AS DECIMAL(38, 2)
  ) AS source_adb_db, 
  CAST(
    TRIM(src.ga_av) AS DECIMAL(38, 2)
  ) AS ga_av, 
  CAST(
    TRIM(src.sa_av) AS DECIMAL(38, 2)
  ) AS sa_av, 
  CAST(
    TRIM(src.ga_cv) AS DECIMAL(38, 2)
  ) AS ga_cv, 
  CAST(
    TRIM(src.sa_cv) AS DECIMAL(38, 2)
  ) AS sa_cv, 
  CAST(
    TRIM(src.shadow_av) AS DECIMAL(38, 2)
  ) AS shadow_av, 
  CAST(
    TRIM(src.indexed_av) AS DECIMAL(38, 2)
  ) AS indexed_av, 
  CAST(
    TRIM(src.fixed_av) AS DECIMAL(38, 2)
  ) AS fixed_av, 
  CAST(
    TRIM(src.excess_min_prem_1) AS DECIMAL(38, 2)
  ) AS excess_min_prem_1, 
  CAST(
    TRIM(src.excess_min_prem_2) AS DECIMAL(38, 2)
  ) AS excess_min_prem_2, 
  CAST(
    TRIM(src.excess_min_prem_3) AS DECIMAL(38, 2)
  ) AS excess_min_prem_3, 
  CAST(
    TRIM(src.loan_value) AS DECIMAL(38, 2)
  ) AS loan_value, 
  CAST(
    TRIM(src.loan_unearned_int) AS DECIMAL(38, 2)
  ) AS loan_unearned_int, 
  CAST(
    TRIM(src.rlus_gaap_balance) AS DECIMAL(38, 2)
  ) AS rlus_gaap_balance, 
  CAST(
    TRIM(src.tpa_gaap_balance) AS DECIMAL(38, 2)
  ) AS tpa_gaap_balance, 
  CAST(
    TRIM(src.stat_balance) AS DECIMAL(38, 2)
  ) AS stat_balance, 
  CAST(
    TRIM(src.tax_balance) AS DECIMAL(38, 2)
  ) AS tax_balance, 
  CAST(
    TRIM(src.ny_basis_stat_balance) AS DECIMAL(38, 2)
  ) AS ny_basis_stat_balance, 
  CAST(
    TRIM(src.economic_balance) AS DECIMAL(38, 2)
  ) AS economic_balance, 
  CAST(
    TRIM(src.bma_balance) AS DECIMAL(38, 2)
  ) AS bma_balance, 
  CAST(
    TRIM(src.ics_balance) AS DECIMAL(38, 2)
  ) AS ics_balance, 
  CAST(
    TRIM(src.ifrs_balance) AS DECIMAL(38, 2)
  ) AS ifrs_balance, 
  CAST(src.gaap_bs_cat AS STRING) AS gaap_bs_cat, 
  CAST(src.stat_bs_cat AS STRING) AS stat_bs_cat, 
  CAST(src.tax_bs_cat AS STRING) AS tax_bs_cat, 
  CAST(src.cft_mod AS STRING) AS cft_mod, 
  CAST(src.affiliate_le AS STRING) AS affiliate_le, 
  CAST(src.upload_entry_ind AS STRING) AS upload_entry_ind, 
  CAST(src.reins_rider AS STRING) AS reins_rider, 
  CAST(
    TRIM(src.reins_mult) AS DECIMAL(38, 2)
  ) AS reins_mult, 
  CAST(
    TRIM(src.gaap_mult) AS DECIMAL(38, 2)
  ) AS gaap_mult, 
  CAST(src.trend_category AS STRING) AS trend_category, 
  CAST(src.fin_reins_category AS STRING) AS fin_reins_category, 
  CAST(src.grossceded AS STRING) AS grossceded, 
  CAST(src.finreinsflag AS STRING) AS finreinsflag, 
  CAST(src.ledger_segment AS STRING) AS ledger_segment, 
  CAST(src.ledger_product AS STRING) AS ledger_product, 
  CAST(src.ledger_cohort AS STRING) AS ledger_cohort, 
  CAST(src.block_id AS INTEGER) AS block_id, 
  CAST(src.sub_deal_id AS INTEGER) AS sub_deal_id, 
  CAST(src.dca_id AS STRING) AS dca_id, 
  CAST(src.dca_id2 AS INTEGER) AS dca_id2, 
  CAST(src.source_id AS INTEGER) AS source_id, 
  CAST(src.balance_id AS INTEGER) AS balance_id, 
  CAST(src.combo_id AS INTEGER) AS combo_id, 
  CAST(src.upload_bs_lkup AS STRING) AS upload_bs_lkup, 
  CAST(src.le_code AS STRING) AS le_code, 
  CAST(src.affiliate_code AS STRING) AS affiliate_code, 
  CAST(src.prod_code AS STRING) AS product_code, 
  CAST(src.seg_code AS STRING) AS segment_code, 
  CAST(src.ins_type_code AS STRING) AS ins_type_code, 
  CAST(src.reins_code AS STRING) AS reinsurer_code, 
  CAST(src.treaty_code AS STRING) AS treaty_code, 
  CAST(src.stat_bs_acct AS STRING) AS stat_bs_acct, 
  CAST(src.gaap_bs_acct AS STRING) AS gaap_bs_acct, 
  CAST(src.bs_lkup AS INTEGER) AS bs_lkup 
FROM 
  SOURCE src
</t>
  </si>
  <si>
    <t>SELECT 
  DISTINCT valuation_block, 
  input_source, 
  input_source_description, 
  input_source_meta_data, 
  TO_DATE(src.val_date, 'MM/dd/yyyy') AS val_date, 
  balance_description, 
  CAST(src.policy_count AS INTEGER) AS policy_count, 
  CAST(
    src.base_policy_db AS DECIMAL(38, 2)
  ) AS base_policy_db, 
  CAST(
    src.rider_db AS DECIMAL(38, 2)
  ) AS rider_db, 
  CAST(
    src.adb_db AS DECIMAL(38, 2)
  ) AS adb_db, 
  CAST(
    src.source_policy_count AS INTEGER
  ) AS source_policy_count, 
  CAST(
    src.source_base_policy_db AS DECIMAL(38, 2)
  ) AS source_base_policy_db, 
  CAST(
    src.source_rider_db AS DECIMAL(38, 2)
  ) AS source_rider_db, 
  CAST(
    src.source_adb_db AS DECIMAL(38, 2)
  ) AS source_adb_db, 
  CAST(
    src.ga_av AS DECIMAL(38, 2)
  ) AS ga_av, 
  CAST(
    src.sa_av AS DECIMAL(38, 2)
  ) AS sa_av, 
  CAST(
    src.ga_cv AS DECIMAL(38, 2)
  ) AS ga_cv, 
  CAST(
    src.sa_cv AS DECIMAL(38, 2)
  ) AS sa_cv, 
  CAST(
    src.shadow_av AS DECIMAL(38, 2)
  ) AS shadow_av, 
  CAST(
    src.indexed_av AS DECIMAL(38, 2)
  ) AS indexed_av, 
  CAST(
    src.fixed_av AS DECIMAL(38, 2)
  ) AS fixed_av, 
  CAST(
    src.excess_min_prem_1 AS DECIMAL(38, 2)
  ) AS excess_min_prem_1, 
  CAST(
    src.excess_min_prem_2 AS DECIMAL(38, 2)
  ) AS excess_min_prem_2, 
  CAST(
    src.excess_min_prem_3 AS DECIMAL(38, 2)
  ) AS excess_min_prem_3, 
  CAST(
    src.loan_value AS DECIMAL(38, 2)
  ) AS loan_value, 
  CAST(
    src.loan_unearned_int AS DECIMAL(38, 2)
  ) AS loan_unearned_int, 
  CAST(
    src.rlus_gaap_balance AS DECIMAL(38, 2)
  ) AS rlus_gaap_balance, 
  CAST(
    src.tpa_gaap_balance AS DECIMAL(38, 2)
  ) AS tpa_gaap_balance, 
  CAST(
    src.stat_balance AS DECIMAL(38, 2)
  ) AS stat_balance, 
  CAST(
    src.tax_balance AS DECIMAL(38, 2)
  ) AS tax_balance, 
  CAST(
    src.ny_basis_stat_balance AS DECIMAL(38, 2)
  ) AS ny_basis_stat_balance, 
  CAST(
    src.economic_balance AS DECIMAL(38, 2)
  ) AS economic_balance, 
  CAST(
    src.bma_balance AS DECIMAL(38, 2)
  ) AS bma_balance, 
  CAST(
    src.ics_balance AS DECIMAL(38, 2)
  ) AS ics_balance, 
  CAST(
    src.ifrs_balance AS DECIMAL(38, 2)
  ) AS ifrs_balance 
FROM 
  SOURCE src</t>
  </si>
  <si>
    <t>WITH qtrlag AS ( SELECT qtr.val_date, qtr.valuation_block, qtr.balance, qtr.input_source, qtr.input_source_description, qtr.input_source_metadata, qtr.policy_count, qtr.base_policy_db, qtr.rider_db, qtr.adb_db, qtr.source_policy_count, qtr.source_base_policy_db, qtr.source_rider_db, qtr.source_adb_db, qtr.ga_av, qtr.sa_av, qtr.ga_cv, qtr.sa_cv, qtr.shadow_av, qtr.indexed_av, qtr.fixed_av, qtr.excess_min_prem_1, qtr.excess_min_prem_2, qtr.excess_min_prem_3, qtr.loan_value, qtr.loan_unearned_int, qtr.rlus_gaap_balance, qtr.tpa_gaap_balance, qtr.stat_balance, qtr.tax_balance, qtr.ny_basis_stat_balance, qtr.economic_balance, qtr.bma_balance, qtr.ics_balance, qtr.ifrs_balance FROM QTRLAGTBL qtr ), curr_val_date AS ( SELECT DISTINCT q.val_date FROM qtrlag q ), schrunoff AS ( SELECT sch.val_date, sch.valuation_block, sch.balance, sch.input_source, sch.input_source_description, sch.input_source_metadata, CAST( '0.00' AS DECIMAL(38, 0) ) AS policy_count, CAST( '0.00' AS DECIMAL(38, 2) ) AS base_policy_db, CAST( '0.00' AS DECIMAL(38, 2) ) AS rider_db, CAST( '0.00' AS DECIMAL(38, 2) ) AS adb_db, CAST( '0.00' AS DECIMAL(38, 0) ) AS source_policy_count, CAST( '0.00' AS DECIMAL(38, 2) ) AS source_base_policy_db, CAST( '0.00' AS DECIMAL(38, 2) ) AS source_rider_db, CAST( '0.00' AS DECIMAL(38, 2) ) AS source_adb_db, CAST( '0.00' AS DECIMAL(38, 2) ) AS ga_av, CAST( '0.00' AS DECIMAL(38, 2) ) AS sa_av, CAST( '0.00' AS DECIMAL(38, 2) ) AS ga_cv, CAST( '0.00' AS DECIMAL(38, 2) ) AS sa_cv, CAST( '0.00' AS DECIMAL(38, 2) ) AS shadow_av, CAST( '0.00' AS DECIMAL(38, 2) ) AS indexed_av, CAST( '0.00' AS DECIMAL(38, 2) ) AS fixed_av, CAST( '0.00' AS DECIMAL(38, 2) ) AS excess_min_prem_1, CAST( '0.00' AS DECIMAL(38, 2) ) AS excess_min_prem_2, CAST( '0.00' AS DECIMAL(38, 2) ) AS excess_min_prem_3, CAST( '0.00' AS DECIMAL(38, 2) ) AS loan_value, CAST( '0.00' AS DECIMAL(38, 2) ) AS loan_unearned_int, sch.rlus_gaap_balance, sch.tpa_gaap_balance, sch.stat_balance, sch.tax_balance, sch.ny_basis_stat_balance, sch.economic_balance, sch.bma_balance, sch.ics_balance, sch.ifrs_balance FROM SCHRUNOFFTBL sch WHERE val_date = ( SELECT curr_val_date.val_date FROM curr_val_date ) ), other AS ( SELECT othr.val_date, othr.valuation_block, othr.balance, othr.input_source, othr.input_source_description, othr.input_source_metadata, othr.policy_count, othr.base_policy_db, othr.rider_db, othr.adb_db, othr.source_policy_count, othr.source_base_policy_db, othr.source_rider_db, othr.source_adb_db, othr.ga_av, othr.sa_av, othr.ga_cv, othr.sa_cv, othr.shadow_av, othr.indexed_av, othr.fixed_av, othr.excess_min_prem_1, othr.excess_min_prem_2, othr.excess_min_prem_3, othr.loan_value, othr.loan_unearned_int, othr.rlus_gaap_balance, othr.tpa_gaap_balance, othr.stat_balance, othr.tax_balance, othr.ny_basis_stat_balance, othr.economic_balance, othr.bma_balance, othr.ics_balance, othr.ifrs_balance FROM OTHERTBL othr ), merged AS ( SELECT * FROM qtrlag UNION ALL SELECT * FROM other UNION ALL SELECT * FROM schrunoff ) SELECT DISTINCT merged.val_date, merged.valuation_block, merged.balance, merged.input_source, merged.input_source_description, merged.input_source_metadata, SUM(merged.policy_count) AS policy_count, SUM(merged.base_policy_db) AS base_policy_db, SUM(merged.rider_db) AS rider_db, SUM(merged.adb_db) AS adb_db, SUM(merged.source_policy_count) AS source_policy_count, SUM(merged.source_base_policy_db) AS source_base_policy_db, SUM(merged.source_rider_db) AS source_rider_db, SUM(merged.source_adb_db) AS source_adb_db, SUM(merged.ga_av) AS ga_av, SUM(merged.sa_av) AS sa_av, SUM(merged.ga_cv) AS ga_cv, SUM(merged.sa_cv) AS sa_cv, SUM(merged.shadow_av) AS shadow_av, SUM(merged.indexed_av) AS indexed_av, SUM(merged.fixed_av) AS fixed_av, SUM(merged.excess_min_prem_1) AS excess_min_prem_1, SUM(merged.excess_min_prem_2) AS excess_min_prem_2, SUM(merged.excess_min_prem_3) AS excess_min_prem_3, SUM(merged.loan_value) AS loan_value, SUM(merged.loan_unearned_int) AS loan_unearned_int, SUM(merged.rlus_gaap_balance) AS rlus_gaap_balance, SUM(merged.tpa_gaap_balance) AS tpa_gaap_balance, SUM(merged.stat_balance) AS stat_balance, SUM(merged.tax_balance) AS tax_balance, SUM(merged.ny_basis_stat_balance) AS ny_basis_stat_balance, SUM(merged.economic_balance) AS economic_balance, SUM(merged.bma_balance) AS bma_balance, SUM(merged.ics_balance) AS ics_balance, SUM(ifrs_balance) AS ifrs_balance FROM merged GROUP BY merged.val_date, merged.valuation_block, merged.balance, merged.input_source, merged.input_source_description, merged.input_source_metadata ORDER BY merged.val_date, merged.input_source, merged.valuation_block, merged.balance</t>
  </si>
  <si>
    <t xml:space="preserve">SELECT DISTINCT 
  CAST(src.val_date AS DATE) AS val_date, 
  src.valuation_block, 
  src.balance, 
  src.input_source, 
  src.input_source_description,
  src.input_source_metadata, 
  CAST(
    src.policy_count AS DECIMAL(38, 0)
  ) AS policy_count, 
  CAST(
    src.base_policy_db AS DECIMAL(38, 2)
  ) AS base_policy_db, 
  CAST(
    src.rider_db AS DECIMAL(38, 2)
  ) AS rider_db, 
  CAST(
    src.adb_db AS DECIMAL(38, 2)
  ) AS adb_db, 
  CAST(
    src.source_policy_count AS DECIMAL(38, 0)
  ) AS source_policy_count, 
  CAST(
    src.source_base_policy_db AS DECIMAL(38, 2)
  ) AS source_base_policy_db, 
  CAST(
    src.source_rider_db AS DECIMAL(38, 2)
  ) AS source_rider_db, 
  CAST(
    src.source_adb_db AS DECIMAL(38, 2)
  ) AS source_adb_db, 
  CAST(
    src.ga_av AS DECIMAL(38, 2)
  ) AS ga_av, 
  CAST(
    src.sa_av AS DECIMAL(38, 2)
  ) AS sa_av, 
  CAST(
    src.ga_cv AS DECIMAL(38, 2)
  ) AS ga_cv, 
  CAST(
    src.sa_cv AS DECIMAL(38, 2)
  ) AS sa_cv, 
  CAST(
    src.shadow_av AS DECIMAL(38, 2)
  ) AS shadow_av, 
  CAST(
    src.indexed_av AS DECIMAL(38, 2)
  ) AS indexed_av, 
  CAST(
    src.fixed_av AS DECIMAL(38, 2)
  ) AS fixed_av, 
  CAST(
    src.excess_min_prem_1 AS DECIMAL(38, 2)
  ) AS excess_min_prem_1, 
  CAST(
    src.excess_min_prem_2 AS DECIMAL(38, 2)
  ) AS excess_min_prem_2, 
  CAST(
    src.excess_min_prem_3 AS DECIMAL(38, 2)
  ) AS excess_min_prem_3, 
  CAST(
    src.loan_value AS DECIMAL(38, 2)
  ) AS loan_value, 
  CAST(
    src.loan_unearned_int AS DECIMAL(38, 2)
  ) AS loan_unearned_int, 
  CAST(
    src.rlus_gaap_balance AS DECIMAL(38, 2)
  ) AS rlus_gaap_balance, 
  CAST(
    src.tpa_gaap_balance AS DECIMAL(38, 2)
  ) AS tpa_gaap_balance, 
  CAST(
    src.stat_balance AS DECIMAL(38, 2)
  ) AS stat_balance, 
  CAST(
    src.tax_balance AS DECIMAL(38, 2)
  ) AS tax_balance, 
  CAST(
    src.ny_basis_stat_balance AS DECIMAL(38, 2)
  ) AS ny_basis_stat_balance, 
  CAST(
    src.economic_balance AS DECIMAL(38, 2)
  ) AS economic_balance, 
  CAST(
    src.bma_balance AS DECIMAL(38, 2)
  ) AS bma_balance, 
  CAST(
    src.ics_balance AS DECIMAL(38, 2)
  ) AS ics_balance, 
  CAST(
    src.ifrs_balance AS DECIMAL(38, 2)
  ) AS ifrs_balance 
FROM 
  SOURCE src
</t>
  </si>
  <si>
    <t xml:space="preserve">SELECT DISTINCT 
  CAST(
	src.val_date AS DATE
  ) AS val_date, 
  src.valuation_block, 
  src.balance, 
  src.input_source, 
  src.input_source_description, 
  src.input_source_metadata, 
  CAST(
    src.policy_count AS DECIMAL(38, 0)
  ) AS policy_count, 
  CAST(
    src.base_policy_db AS DECIMAL(38, 2)
  ) AS base_policy_db, 
  CAST(
    src.rider_db AS DECIMAL(38, 2)
  ) AS rider_db, 
  CAST(
    src.adb_db AS DECIMAL(38, 2)
  ) AS adb_db, 
  CAST(
    src.source_policy_count AS DECIMAL(38, 0)
  ) AS source_policy_count, 
  CAST(
    src.source_base_policy_db AS DECIMAL(38, 0)
  ) AS source_base_policy_db, 
  CAST(
    src.source_rider_db AS DECIMAL(38, 2)
  ) AS source_rider_db, 
  CAST(
    src.source_adb_db AS DECIMAL(38, 2)
  ) AS source_adb_db, 
  CAST(
    src.ga_av AS DECIMAL(38, 2)
  ) AS ga_av, 
  CAST(
    src.sa_av AS DECIMAL(38, 2)
  ) AS sa_av, 
  CAST(
    src.ga_cv AS DECIMAL(38, 2)
  ) AS ga_cv, 
  CAST(
    src.sa_cv AS DECIMAL(38, 2)
  ) AS sa_cv, 
  CAST(
    src.shadow_av AS DECIMAL(38, 2)
  ) AS shadow_av, 
  CAST(
    src.indexed_av AS DECIMAL(38, 2)
  ) AS indexed_av, 
  CAST(
    src.fixed_av AS DECIMAL(38, 2)
  ) AS fixed_av, 
  CAST(
    src.excess_min_prem_1 AS DECIMAL(38, 2)
  ) AS excess_min_prem_1, 
  CAST(
    src.excess_min_prem_2 AS DECIMAL(38, 2)
  ) AS excess_min_prem_2, 
  CAST(
    src.excess_min_prem_3 AS DECIMAL(38, 2)
  ) AS excess_min_prem_3, 
  CAST(
    src.loan_value AS DECIMAL(38, 2)
  ) AS loan_value, 
  CAST(
    src.loan_unearned_int AS DECIMAL(38, 2)
  ) AS loan_unearned_int, 
  CAST(
    src.rlus_gaap_balance AS DECIMAL(38, 2)
  ) AS rlus_gaap_balance, 
  CAST(
    src.tpa_gaap_balance AS DECIMAL(38, 2)
  ) AS tpa_gaap_balance, 
  CAST(
    src.stat_balance AS DECIMAL(38, 2)
  ) AS stat_balance, 
  CAST(
    src.tax_balance AS DECIMAL(38, 2)
  ) AS tax_balance, 
  CAST(
    src.ny_basis_stat_balance AS DECIMAL(38, 2)
  ) AS ny_basis_stat_balance, 
  CAST(
    src.economic_balance AS DECIMAL(38, 2)
  ) AS economic_balance, 
  CAST(
    src.bma_balance AS DECIMAL(38, 2)
  ) AS bma_balance, 
  CAST(
    src.ics_balance AS DECIMAL(38, 2)
  ) AS ics_balance, 
  CAST(
    src.ifrs_balance AS DECIMAL(38, 2)
  ) AS ifrs_balance 
FROM 
  SOURCE src
</t>
  </si>
  <si>
    <t xml:space="preserve">SELECT DISTINCT 
  CAST(
    src.val_date AS DATE
  ) AS val_date, 
  src.valuation_block, 
  src.balance, 
  src.input_source, 
  src.input_source_description,
  src.input_source_metadata, 
  CAST(
    src.policy_count AS DECIMAL(38, 0)
  ) AS policy_count, 
  CAST(
    src.base_policy_db AS DECIMAL(38, 2)
  ) AS base_policy_db, 
  CAST(
    src.rider_db AS DECIMAL(38, 2)
  ) AS rider_db, 
  CAST(
    src.adb_db AS DECIMAL(38, 2)
  ) AS adb_db, 
  CAST(
    src.source_policy_count AS DECIMAL(38, 0)
  ) AS source_policy_count, 
  CAST(
    src.source_base_policy_db AS DECIMAL(38, 2)
  ) AS source_base_policy_db, 
  CAST(
    src.source_rider_db AS DECIMAL(38, 2)
  ) AS source_rider_db, 
  CAST(
    src.source_adb_db AS DECIMAL(38, 2)
  ) AS source_adb_db, 
  CAST(
    src.ga_av AS DECIMAL(38, 2)
  ) AS ga_av, 
  CAST(
    src.sa_av AS DECIMAL(38, 2)
  ) AS sa_av, 
  CAST(
    src.ga_cv AS DECIMAL(38, 2)
  ) AS ga_cv, 
  CAST(
    src.sa_cv AS DECIMAL(38, 2)
  ) AS sa_cv, 
  CAST(
    src.shadow_av AS DECIMAL(38, 2)
  ) AS shadow_av, 
  CAST(
    src.indexed_av AS DECIMAL(38, 2)
  ) AS indexed_av, 
  CAST(
    src.fixed_av AS DECIMAL(38, 2)
  ) AS fixed_av, 
  CAST(
    src.excess_min_prem_1 AS DECIMAL(38, 2)
  ) AS excess_min_prem_1, 
  CAST(
    src.excess_min_prem_2 AS DECIMAL(38, 2)
  ) AS excess_min_prem_2, 
  CAST(
    src.excess_min_prem_3 AS DECIMAL(38, 2)
  ) AS excess_min_prem_3, 
  CAST(
    src.loan_value AS DECIMAL(38, 2)
  ) AS loan_value, 
  CAST(
    src.loan_unearned_int AS DECIMAL(38, 2)
  ) AS loan_unearned_int, 
  CAST(
    src.rlus_gaap_balance AS DECIMAL(38, 2)
  ) AS rlus_gaap_balance, 
  CAST(
    src.tpa_gaap_balance AS DECIMAL(38, 2)
  ) AS tpa_gaap_balance, 
  CAST(
    src.stat_balance AS DECIMAL(38, 2)
  ) AS stat_balance, 
  CAST(
    src.tax_balance AS DECIMAL(38, 2)
  ) AS tax_balance, 
  CAST(
    src.ny_basis_stat_balance AS DECIMAL(38, 2)
  ) AS ny_basis_stat_balance, 
  CAST(
    src.economic_balance AS DECIMAL(38, 2)
  ) AS economic_balance, 
  CAST(
    src.bma_balance AS DECIMAL(38, 2)
  ) AS bma_balance, 
  CAST(
    src.ics_balance AS DECIMAL(38, 2)
  ) AS ics_balance, 
  CAST(
    src.ifrs_balance AS DECIMAL(38, 2)
  ) AS ifrs_balance 
FROM 
  SOURCE src
</t>
  </si>
  <si>
    <t xml:space="preserve">WITH curr_val_date AS (
  SELECT 
    DISTINCT MAX(qtr.val_date) val_date 
  FROM 
    QTRLAG qtr
) 
SELECT 
  sch.val_date, 
  sch.valuation_block, 
  sch.balance, 
  sch.input_source, 
  sch.input_source_description, 
  sch.input_source_metadata, 
  CAST(
    '0.00' AS DECIMAL(38, 0)
  ) AS policy_count, 
  CAST(
    '0.00' AS DECIMAL(38, 2)
  ) AS base_policy_db, 
  CAST(
    '0.00' AS DECIMAL(38, 2)
  ) AS rider_db, 
  CAST(
    '0.00' AS DECIMAL(38, 2)
  ) AS adb_db, 
  CAST(
    '0.00' AS DECIMAL(38, 0)
  ) AS source_policy_count, 
  CAST(
    '0.00' AS DECIMAL(38, 2)
  ) AS source_base_policy_db, 
  CAST(
    '0.00' AS DECIMAL(38, 2)
  ) AS source_rider_db, 
  CAST(
    '0.00' AS DECIMAL(38, 2)
  ) AS source_adb_db, 
  CAST(
    '0.00' AS DECIMAL(38, 2)
  ) AS ga_av, 
  CAST(
    '0.00' AS DECIMAL(38, 2)
  ) AS sa_av, 
  CAST(
    '0.00' AS DECIMAL(38, 2)
  ) AS ga_cv, 
  CAST(
    '0.00' AS DECIMAL(38, 2)
  ) AS sa_cv, 
  CAST(
    '0.00' AS DECIMAL(38, 2)
  ) AS shadow_av, 
  CAST(
    '0.00' AS DECIMAL(38, 2)
  ) AS indexed_av, 
  CAST(
    '0.00' AS DECIMAL(38, 2)
  ) AS fixed_av, 
  CAST(
    '0.00' AS DECIMAL(38, 2)
  ) AS excess_min_prem_1, 
  CAST(
    '0.00' AS DECIMAL(38, 2)
  ) AS excess_min_prem_2, 
  CAST(
    '0.00' AS DECIMAL(38, 2)
  ) AS excess_min_prem_3, 
  CAST(
    '0.00' AS DECIMAL(38, 2)
  ) AS loan_value, 
  CAST(
    '0.00' AS DECIMAL(38, 2)
  ) AS loan_unearned_int, 
  sch.rlus_gaap_balance, 
  sch.tpa_gaap_balance, 
  sch.stat_balance, 
  sch.tax_balance, 
  sch.ny_basis_stat_balance, 
  sch.economic_balance, 
  sch.bma_balance, 
  sch.ics_balance, 
  sch.ifrs_balance 
FROM 
  BASE sch 
WHERE 
  val_date = (
    SELECT 
      curr_val_date.val_date 
    FROM 
      curr_val_date
  )
</t>
  </si>
  <si>
    <t>SELECT 
  DISTINCT CAST(src.balance_id AS INTEGER) AS balance_id, 
  balance, 
  balance_description, 
  upload, 
  associated_is_balance, 
  fas60_gaap_gross_bs_category, 
  fas60_gaap_ceded_bs_category, 
  fas60_gaap_dep_gross_bs_category, 
  fas60_gaap_dep_ceded_bs_category, 
  fas91_gaap_gross_bs_category, 
  fas91_gaap_ceded_bs_category, 
  fas91_gaap_dep_gross_bs_category, 
  fas91_gaap_dep_ceded_bs_category, 
  fas97_gaap_gross_bs_category, 
  fas97_gaap_ceded_bs_category, 
  fas97_gaap_dep_gross_bs_category, 
  fas97_gaap_dep_ceded_bs_category, 
  stat_bs_category, 
  tax_bs_category, 
  rider_category, 
  CAST(src.cft_modeled AS INTEGER) AS cft_modeled, 
  trend_category, 
  captive_display_category, 
  balance_type 
FROM 
  SOURCE src</t>
  </si>
  <si>
    <t>SELECT 
DISTINCT CAST(src.balance_id AS INTEGER) AS balance_id, 
src.chg_in_balance_description, 
src.chg_in_balance_description_detailed, 
src.upload, 
src.fas60_gaap_is_category, 
src.fas60_gaap_deposit_is_category, 
src.fas91_gaap_is_category, 
src.fas91_gaap_deposit_is_category, 
src.fas97_gaap_is_category, 
src.fas97_gaap_deposit_is_category, 
src.stat_is_category, 
src.tax_is_category, 
src.rider_category,
src.captive_display_category,
CAST(src.cft_modeled AS INTEGER) AS cft_modeled, 
src.trend_category, 
src.balance_type, 
src.associated_is_balance
FROM 
SOURCE src</t>
  </si>
  <si>
    <t>SELECT 
  DISTINCT CAST(src.block_id AS INTEGER) AS block_id, 
  valuation_block, 
  valuation_block_description, 
  direct_le, 
  direct_le_othr, 
  prod_type, 
  par_code, 
  insureds, 
  rlus_gaap_cohort, 
  tpa_gaap_cohort, 
  grp_srvconly, 
  grp_block, 
  grp_sub_block, 
  financing_deal, 
  CAST(src.cft_modeled AS INTEGER) AS cft_modeled, 
  ledger_segment, 
  ledger_product, 
  ledger_treaty 
FROM 
  SOURCE src</t>
  </si>
  <si>
    <t>SELECT 
  DISTINCT CAST(src.company AS STRING) AS company,
  CAST(src.company_description AS STRING) AS company_description
FROM 
  SOURCE src</t>
  </si>
  <si>
    <t xml:space="preserve">SELECT 
  DISTINCT CAST(src.entry_type AS STRING) AS entry_type, 
  CAST(
    src.entry_type_description AS STRING
  ) AS entry_type_description 
FROM 
  SOURCE src
</t>
  </si>
  <si>
    <t>SELECT 
  DISTINCT CAST(src.valuation_block AS STRING) AS valuation_block, 
  CAST(src.subdeal_step AS STRING) AS subdeal_step, 
  CAST(src.subdeal AS STRING) AS subdeal 
FROM 
  SOURCE src</t>
  </si>
  <si>
    <t xml:space="preserve">SELECT 
  DISTINCT CAST(src.input_source_id AS INTEGER) AS input_source_id, 
  CAST(src.input_source AS STRING) AS input_source, 
  CAST(src.input_source_type AS STRING) AS input_source_type , 
  CAST(src.required AS STRING) AS required, 
  CAST(src.frequency AS STRING) AS frequency, 
  CAST(src.description AS STRING) AS description 
FROM 
  SOURCE src
</t>
  </si>
  <si>
    <t>SELECT 
  DISTINCT CAST(sch.dca_id AS INTEGER) AS dca_id, 
  CAST(sch.dca_ledger_code AS STRING) AS dca_ledger_code, 
  CAST(sch.dca AS STRING) AS dca
FROM 
  SOURCE sch</t>
  </si>
  <si>
    <t>SELECT DISTINCT 
  src.legal_entity, 
  src.le_description,
  src.le_ledger_code,
  src.company
FROM 
  SOURCE src</t>
  </si>
  <si>
    <t>SELECT 
  DISTINCT CAST(sch.prod_type AS STRING) AS prod_type, 
  CAST(sch.major_prod_type AS STRING) AS major_prod_type, 
  CAST(sch.lob AS STRING) AS lob, 
  CAST(sch.prod_type_stat_bs AS STRING) AS prod_type_stat_bs, 
  CAST(sch.prod_type_stat_notes AS STRING) AS prod_type_stat_notes, 
  CAST(sch.fas AS STRING) AS fas, 
  CAST(sch.prod_type_gaap_bs AS STRING) AS prod_type_gaap_bs, 
  CAST(sch.prod_type_moodys AS STRING) AS prod_type_moodys, 
  CAST(sch.prod_type_ambest AS STRING) AS prod_type_ambest, 
  CAST(sch.prod_type_fitch AS STRING) AS prod_type_fitch, 
  CAST(sch.prod_type_sp AS STRING) AS prod_type_sp
FROM 
  SOURCE sch</t>
  </si>
  <si>
    <t>SELECT 
  DISTINCT CAST(src.product_code AS INTEGER) AS product_code, 
  CAST(src.product_description AS STRING) AS product_description, 
 src.product
FROM 
  SOURCE src</t>
  </si>
  <si>
    <t xml:space="preserve">SELECT 
  valuation_block, 
  company, 
  entry_type_rptd 
FROM 
  SOURCE
</t>
  </si>
  <si>
    <t xml:space="preserve">SELECT 
  DISTINCT CAST(src.segment_code AS INTEGER) AS segment_code, 
  CAST(src.segment AS STRING) AS segment, 
  CAST(src.segment_description AS STRING) AS segment_description
FROM 
  SOURCE src
</t>
  </si>
  <si>
    <t>SELECT 
  DISTINCT CAST(src.input_source_id AS INTEGER) AS input_source_id, 
  CAST(src.input_source AS STRING) AS input_source, 
  CAST(src.balance AS STRING) AS balance, 
  CAST(src.exp_plan AS INTEGER) AS exp_plan, 
  CAST(src.exp_frcst AS INTEGER) AS exp_frcst, 
  CAST(src.act_acclclose AS INTEGER) AS act_acclclose, 
  CAST(src.act_actual AS INTEGER) AS act_actual 
FROM 
  SOURCE src</t>
  </si>
  <si>
    <t xml:space="preserve">
SELECT 
  DISTINCT CAST(src.sub_deal_id AS INTEGER) AS sub_deal_id, 
  sub_deal, 
  ceding_segment, 
  assuming_segment, 
  ceding_le, 
  assuming_le, 
  reins_type, 
  ic_reins, 
  CAST(
    src.ceded_factor AS DECIMAL(5,2)
  ) AS ceded_factor, 
  CAST(
    TRIM(src.gaap_mult) AS DECIMAL(5,2)
  ) AS gaap_mult, 
  CAST(TRIM(src.cft_modeled) AS INTEGER) AS cft_modeled, 
  finreinsflag, 
  ceding_gaap_reins_class, 
  ceding_stat_reins_class, 
  assuming_gaap_reins_class, 
  assuming_stat_reins_class, 
  exclusion_type 
FROM 
  SOURCE src</t>
  </si>
  <si>
    <t xml:space="preserve">SELECT 
  DISTINCT CAST(src.topside_approach_id AS INTEGER) AS topside_approach_id, 
  CAST(src.topside_approach AS STRING) AS topside_approach
FROM 
  SOURCE src
</t>
  </si>
  <si>
    <t>SELECT 
  DISTINCT CAST(src.group_id AS INTEGER) AS group_id, 
  CAST(src.topside_group AS STRING) AS topside_group
FROM 
  SOURCE src</t>
  </si>
  <si>
    <t xml:space="preserve">WITH merged AS (
  SELECT 
    h.* 
  FROM 
    HIST h 
  UNION ALL 
  SELECT 
    c.* 
  FROM 
    CURR c
) 
SELECT 
  m.* 
FROM 
  merged m 
ORDER BY 
  m.val_date DESC, 
  m.topside_approach, 
  m.valuation_block, 
  m.balance
</t>
  </si>
  <si>
    <t>SELECT Val_Date,Company,Legal_Entity,Valuation_Block,Input_Source,DCA_Code,GAAP_Reins_Class,STAT_Reins_Class,IC_Reins,Sub_Deal,Balance_Description, Chg_in_Bal_Description, RLUS_GAAP_Balance as RLUS_GAAP_Balance ,TPA_GAAP_Balance as TPA_GAAP_Balance, STAT_Balance as STAT_Balance,Tax_Balance as Tax_Balance, Affiliate_LE,Upload_Entry_Ind,Ledger_Segment,Ledger_Product,Ledger_Cohort  from SOURCE</t>
  </si>
  <si>
    <t>SELECT Val_Date,Company,Legal_Entity,Valuation_Block,Input_Source,DCA_Code,GAAP_Reins_Class,STAT_Reins_Class,IC_Reins,Sub_Deal,Balance_Description, Chg_in_Bal_Description,RLUS_GAAP_Balance as RLUS_GAAP_Balance, TPA_GAAP_Balance as TPA_GAAP_Balance, STAT_Balance as STAT_Balance, Tax_Balance as Tax_Balance, Affiliate_LE,Upload_Entry_Ind,Ledger_Segment,Ledger_Product,Ledger_Cohort FROM  SOURCE src</t>
  </si>
  <si>
    <t xml:space="preserve">Select * FROM SOURCE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</si>
</sst>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24" x14ac:knownFonts="1">
    <font>
      <sz val="11"/>
      <color theme="1"/>
      <name val="Arial"/>
      <family val="2"/>
      <scheme val="minor"/>
    </font>
    <font>
      <b/>
      <sz val="15"/>
      <color theme="3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8"/>
      <color theme="3"/>
      <name val="Arial"/>
      <family val="2"/>
      <scheme val="maj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sz val="11"/>
      <color theme="0"/>
      <name val="Arial"/>
      <family val="2"/>
      <scheme val="minor"/>
    </font>
    <font>
      <u/>
      <sz val="11"/>
      <color theme="10"/>
      <name val="Arial"/>
      <family val="2"/>
      <scheme val="minor"/>
    </font>
    <font>
      <u/>
      <sz val="11"/>
      <color theme="11"/>
      <name val="Arial"/>
      <family val="2"/>
      <scheme val="minor"/>
    </font>
    <font>
      <sz val="11"/>
      <color rgb="FFFF00FF"/>
      <name val="Arial"/>
      <family val="2"/>
      <scheme val="minor"/>
    </font>
    <font>
      <sz val="11"/>
      <name val="Arial"/>
      <family val="2"/>
      <scheme val="minor"/>
    </font>
    <font>
      <sz val="12"/>
      <color theme="1"/>
      <name val="Arial"/>
      <family val="2"/>
      <scheme val="minor"/>
    </font>
    <font>
      <sz val="8"/>
      <name val="Arial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4" fillId="8" borderId="9" applyNumberFormat="0" applyFont="0" applyAlignment="0" applyProtection="0"/>
    <xf numFmtId="0" fontId="3" fillId="0" borderId="10" applyNumberFormat="0" applyFill="0" applyAlignment="0" applyProtection="0"/>
    <xf numFmtId="0" fontId="17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17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17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17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17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17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116">
    <xf numFmtId="0" fontId="0" fillId="0" borderId="0" xfId="0"/>
    <xf numFmtId="0" fontId="0" fillId="0" borderId="0" xfId="0" applyAlignment="1">
      <alignment horizontal="center"/>
    </xf>
    <xf numFmtId="0" fontId="1" fillId="0" borderId="1" xfId="1"/>
    <xf numFmtId="0" fontId="2" fillId="0" borderId="0" xfId="2"/>
    <xf numFmtId="0" fontId="0" fillId="0" borderId="0" xfId="0"/>
    <xf numFmtId="0" fontId="3" fillId="0" borderId="2" xfId="0" applyFont="1" applyBorder="1" applyAlignment="1">
      <alignment horizontal="center"/>
    </xf>
    <xf numFmtId="0" fontId="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 applyAlignment="1">
      <alignment horizontal="center"/>
    </xf>
    <xf numFmtId="0" fontId="2" fillId="0" borderId="0" xfId="2" applyAlignment="1">
      <alignment horizontal="left"/>
    </xf>
    <xf numFmtId="0" fontId="16" fillId="0" borderId="0" xfId="20"/>
    <xf numFmtId="0" fontId="20" fillId="0" borderId="0" xfId="20" applyFont="1"/>
    <xf numFmtId="0" fontId="16" fillId="0" borderId="0" xfId="0" applyFont="1"/>
    <xf numFmtId="49" fontId="0" fillId="0" borderId="0" xfId="0" applyNumberFormat="1"/>
    <xf numFmtId="49" fontId="3" fillId="0" borderId="0" xfId="0" applyNumberFormat="1" applyFont="1"/>
    <xf numFmtId="49" fontId="3" fillId="0" borderId="0" xfId="0" applyNumberFormat="1" applyFont="1" applyAlignment="1">
      <alignment wrapText="1"/>
    </xf>
    <xf numFmtId="49" fontId="0" fillId="0" borderId="0" xfId="0" quotePrefix="1" applyNumberFormat="1" applyAlignment="1">
      <alignment wrapText="1"/>
    </xf>
    <xf numFmtId="49" fontId="0" fillId="0" borderId="0" xfId="0" applyNumberFormat="1" applyAlignment="1">
      <alignment wrapText="1"/>
    </xf>
    <xf numFmtId="0" fontId="21" fillId="0" borderId="0" xfId="0" applyFont="1"/>
    <xf numFmtId="0" fontId="0" fillId="0" borderId="0" xfId="0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0" fontId="22" fillId="0" borderId="0" xfId="0" applyFont="1" applyFill="1" applyBorder="1" applyAlignment="1">
      <alignment horizontal="center"/>
    </xf>
    <xf numFmtId="0" fontId="4" fillId="10" borderId="0" xfId="24"/>
    <xf numFmtId="0" fontId="4" fillId="14" borderId="0" xfId="28"/>
    <xf numFmtId="0" fontId="4" fillId="18" borderId="0" xfId="32"/>
    <xf numFmtId="0" fontId="4" fillId="22" borderId="0" xfId="36"/>
    <xf numFmtId="0" fontId="4" fillId="26" borderId="0" xfId="40"/>
    <xf numFmtId="0" fontId="4" fillId="30" borderId="0" xfId="44"/>
    <xf numFmtId="0" fontId="4" fillId="11" borderId="0" xfId="25"/>
    <xf numFmtId="0" fontId="4" fillId="15" borderId="0" xfId="29"/>
    <xf numFmtId="0" fontId="4" fillId="19" borderId="0" xfId="33"/>
    <xf numFmtId="0" fontId="4" fillId="23" borderId="0" xfId="37"/>
    <xf numFmtId="0" fontId="4" fillId="27" borderId="0" xfId="41"/>
    <xf numFmtId="0" fontId="4" fillId="31" borderId="0" xfId="45"/>
    <xf numFmtId="0" fontId="4" fillId="12" borderId="0" xfId="26"/>
    <xf numFmtId="0" fontId="4" fillId="16" borderId="0" xfId="30"/>
    <xf numFmtId="0" fontId="4" fillId="20" borderId="0" xfId="34"/>
    <xf numFmtId="0" fontId="4" fillId="24" borderId="0" xfId="38"/>
    <xf numFmtId="0" fontId="4" fillId="28" borderId="0" xfId="42"/>
    <xf numFmtId="0" fontId="4" fillId="32" borderId="0" xfId="46"/>
    <xf numFmtId="0" fontId="17" fillId="9" borderId="0" xfId="23"/>
    <xf numFmtId="0" fontId="17" fillId="13" borderId="0" xfId="27"/>
    <xf numFmtId="0" fontId="17" fillId="17" borderId="0" xfId="31"/>
    <xf numFmtId="0" fontId="17" fillId="21" borderId="0" xfId="35"/>
    <xf numFmtId="0" fontId="17" fillId="25" borderId="0" xfId="39"/>
    <xf numFmtId="0" fontId="17" fillId="29" borderId="0" xfId="43"/>
    <xf numFmtId="0" fontId="9" fillId="3" borderId="0" xfId="13"/>
    <xf numFmtId="0" fontId="13" fillId="6" borderId="5" xfId="17"/>
    <xf numFmtId="0" fontId="15" fillId="7" borderId="8" xfId="19"/>
    <xf numFmtId="43" fontId="0" fillId="0" borderId="0" xfId="3" applyFont="1"/>
    <xf numFmtId="41" fontId="0" fillId="0" borderId="0" xfId="4" applyFont="1"/>
    <xf numFmtId="44" fontId="0" fillId="0" borderId="0" xfId="5" applyFont="1"/>
    <xf numFmtId="42" fontId="0" fillId="0" borderId="0" xfId="6" applyFont="1"/>
    <xf numFmtId="0" fontId="19" fillId="0" borderId="0" xfId="48"/>
    <xf numFmtId="0" fontId="8" fillId="2" borderId="0" xfId="12"/>
    <xf numFmtId="0" fontId="6" fillId="0" borderId="3" xfId="9"/>
    <xf numFmtId="0" fontId="7" fillId="0" borderId="4" xfId="10"/>
    <xf numFmtId="0" fontId="7" fillId="0" borderId="0" xfId="11"/>
    <xf numFmtId="0" fontId="18" fillId="0" borderId="0" xfId="47"/>
    <xf numFmtId="0" fontId="11" fillId="5" borderId="5" xfId="15"/>
    <xf numFmtId="0" fontId="14" fillId="0" borderId="7" xfId="18"/>
    <xf numFmtId="0" fontId="10" fillId="4" borderId="0" xfId="14"/>
    <xf numFmtId="0" fontId="0" fillId="8" borderId="9" xfId="21" applyFont="1"/>
    <xf numFmtId="0" fontId="12" fillId="6" borderId="6" xfId="16"/>
    <xf numFmtId="9" fontId="0" fillId="0" borderId="0" xfId="7" applyFont="1"/>
    <xf numFmtId="0" fontId="5" fillId="0" borderId="0" xfId="8"/>
    <xf numFmtId="0" fontId="3" fillId="0" borderId="10" xfId="22"/>
    <xf numFmtId="0" fontId="4" fillId="10" borderId="0" xfId="24" applyAlignment="1">
      <alignment horizontal="center"/>
    </xf>
    <xf numFmtId="0" fontId="4" fillId="14" borderId="0" xfId="28" applyAlignment="1">
      <alignment horizontal="center"/>
    </xf>
    <xf numFmtId="0" fontId="4" fillId="18" borderId="0" xfId="32" applyAlignment="1">
      <alignment horizontal="center"/>
    </xf>
    <xf numFmtId="0" fontId="4" fillId="22" borderId="0" xfId="36" applyAlignment="1">
      <alignment horizontal="center"/>
    </xf>
    <xf numFmtId="0" fontId="4" fillId="26" borderId="0" xfId="40" applyAlignment="1">
      <alignment horizontal="center"/>
    </xf>
    <xf numFmtId="0" fontId="4" fillId="30" borderId="0" xfId="44" applyAlignment="1">
      <alignment horizontal="center"/>
    </xf>
    <xf numFmtId="0" fontId="4" fillId="11" borderId="0" xfId="25" applyAlignment="1">
      <alignment horizontal="center"/>
    </xf>
    <xf numFmtId="0" fontId="4" fillId="15" borderId="0" xfId="29" applyAlignment="1">
      <alignment horizontal="center"/>
    </xf>
    <xf numFmtId="0" fontId="4" fillId="19" borderId="0" xfId="33" applyAlignment="1">
      <alignment horizontal="center"/>
    </xf>
    <xf numFmtId="0" fontId="4" fillId="23" borderId="0" xfId="37" applyAlignment="1">
      <alignment horizontal="center"/>
    </xf>
    <xf numFmtId="0" fontId="4" fillId="27" borderId="0" xfId="41" applyAlignment="1">
      <alignment horizontal="center"/>
    </xf>
    <xf numFmtId="0" fontId="4" fillId="31" borderId="0" xfId="45" applyAlignment="1">
      <alignment horizontal="center"/>
    </xf>
    <xf numFmtId="0" fontId="4" fillId="12" borderId="0" xfId="26" applyAlignment="1">
      <alignment horizontal="center"/>
    </xf>
    <xf numFmtId="0" fontId="4" fillId="16" borderId="0" xfId="30" applyAlignment="1">
      <alignment horizontal="center"/>
    </xf>
    <xf numFmtId="0" fontId="4" fillId="20" borderId="0" xfId="34" applyAlignment="1">
      <alignment horizontal="center"/>
    </xf>
    <xf numFmtId="0" fontId="4" fillId="24" borderId="0" xfId="38" applyAlignment="1">
      <alignment horizontal="center"/>
    </xf>
    <xf numFmtId="0" fontId="4" fillId="28" borderId="0" xfId="42" applyAlignment="1">
      <alignment horizontal="center"/>
    </xf>
    <xf numFmtId="0" fontId="4" fillId="32" borderId="0" xfId="46" applyAlignment="1">
      <alignment horizontal="center"/>
    </xf>
    <xf numFmtId="0" fontId="17" fillId="9" borderId="0" xfId="23" applyAlignment="1">
      <alignment horizontal="center"/>
    </xf>
    <xf numFmtId="0" fontId="17" fillId="13" borderId="0" xfId="27" applyAlignment="1">
      <alignment horizontal="center"/>
    </xf>
    <xf numFmtId="0" fontId="17" fillId="17" borderId="0" xfId="31" applyAlignment="1">
      <alignment horizontal="center"/>
    </xf>
    <xf numFmtId="0" fontId="17" fillId="21" borderId="0" xfId="35" applyAlignment="1">
      <alignment horizontal="center"/>
    </xf>
    <xf numFmtId="0" fontId="17" fillId="25" borderId="0" xfId="39" applyAlignment="1">
      <alignment horizontal="center"/>
    </xf>
    <xf numFmtId="0" fontId="17" fillId="29" borderId="0" xfId="43" applyAlignment="1">
      <alignment horizontal="center"/>
    </xf>
    <xf numFmtId="0" fontId="9" fillId="3" borderId="0" xfId="13" applyAlignment="1">
      <alignment horizontal="center"/>
    </xf>
    <xf numFmtId="0" fontId="13" fillId="6" borderId="5" xfId="17" applyAlignment="1">
      <alignment horizontal="center"/>
    </xf>
    <xf numFmtId="0" fontId="15" fillId="7" borderId="8" xfId="19" applyAlignment="1">
      <alignment horizontal="center"/>
    </xf>
    <xf numFmtId="43" fontId="0" fillId="0" borderId="0" xfId="3" applyFont="1" applyAlignment="1">
      <alignment horizontal="center"/>
    </xf>
    <xf numFmtId="41" fontId="0" fillId="0" borderId="0" xfId="4" applyFont="1" applyAlignment="1">
      <alignment horizontal="center"/>
    </xf>
    <xf numFmtId="44" fontId="0" fillId="0" borderId="0" xfId="5" applyFont="1" applyAlignment="1">
      <alignment horizontal="center"/>
    </xf>
    <xf numFmtId="42" fontId="0" fillId="0" borderId="0" xfId="6" applyFont="1" applyAlignment="1">
      <alignment horizontal="center"/>
    </xf>
    <xf numFmtId="0" fontId="2" fillId="0" borderId="0" xfId="2" applyAlignment="1">
      <alignment horizontal="center"/>
    </xf>
    <xf numFmtId="0" fontId="19" fillId="0" borderId="0" xfId="48" applyAlignment="1">
      <alignment horizontal="center"/>
    </xf>
    <xf numFmtId="0" fontId="8" fillId="2" borderId="0" xfId="12" applyAlignment="1">
      <alignment horizontal="center"/>
    </xf>
    <xf numFmtId="0" fontId="6" fillId="0" borderId="3" xfId="9" applyAlignment="1">
      <alignment horizontal="center"/>
    </xf>
    <xf numFmtId="0" fontId="7" fillId="0" borderId="4" xfId="10" applyAlignment="1">
      <alignment horizontal="center"/>
    </xf>
    <xf numFmtId="0" fontId="7" fillId="0" borderId="0" xfId="11" applyAlignment="1">
      <alignment horizontal="center"/>
    </xf>
    <xf numFmtId="0" fontId="18" fillId="0" borderId="0" xfId="47" applyAlignment="1">
      <alignment horizontal="center"/>
    </xf>
    <xf numFmtId="0" fontId="11" fillId="5" borderId="5" xfId="15" applyAlignment="1">
      <alignment horizontal="center"/>
    </xf>
    <xf numFmtId="0" fontId="14" fillId="0" borderId="7" xfId="18" applyAlignment="1">
      <alignment horizontal="center"/>
    </xf>
    <xf numFmtId="0" fontId="10" fillId="4" borderId="0" xfId="14" applyAlignment="1">
      <alignment horizontal="center"/>
    </xf>
    <xf numFmtId="0" fontId="0" fillId="8" borderId="9" xfId="21" applyFont="1" applyAlignment="1">
      <alignment horizontal="center"/>
    </xf>
    <xf numFmtId="0" fontId="12" fillId="6" borderId="6" xfId="16" applyAlignment="1">
      <alignment horizontal="center"/>
    </xf>
    <xf numFmtId="9" fontId="0" fillId="0" borderId="0" xfId="7" applyFont="1" applyAlignment="1">
      <alignment horizontal="center"/>
    </xf>
    <xf numFmtId="0" fontId="5" fillId="0" borderId="0" xfId="8" applyAlignment="1">
      <alignment horizontal="center"/>
    </xf>
    <xf numFmtId="0" fontId="3" fillId="0" borderId="10" xfId="22" applyAlignment="1">
      <alignment horizontal="center"/>
    </xf>
    <xf numFmtId="0" fontId="16" fillId="0" borderId="0" xfId="20" applyAlignment="1">
      <alignment horizontal="center"/>
    </xf>
    <xf numFmtId="0" fontId="0" fillId="0" borderId="0" xfId="0" applyAlignment="1">
      <alignment wrapText="1"/>
    </xf>
  </cellXfs>
  <cellStyles count="49">
    <cellStyle name="20% - Accent1" xfId="24" builtinId="30"/>
    <cellStyle name="20% - Accent2" xfId="28" builtinId="34"/>
    <cellStyle name="20% - Accent3" xfId="32" builtinId="38"/>
    <cellStyle name="20% - Accent4" xfId="36" builtinId="42"/>
    <cellStyle name="20% - Accent5" xfId="40" builtinId="46"/>
    <cellStyle name="20% - Accent6" xfId="44" builtinId="50"/>
    <cellStyle name="40% - Accent1" xfId="25" builtinId="31"/>
    <cellStyle name="40% - Accent2" xfId="29" builtinId="35"/>
    <cellStyle name="40% - Accent3" xfId="33" builtinId="39"/>
    <cellStyle name="40% - Accent4" xfId="37" builtinId="43"/>
    <cellStyle name="40% - Accent5" xfId="41" builtinId="47"/>
    <cellStyle name="40% - Accent6" xfId="45" builtinId="51"/>
    <cellStyle name="60% - Accent1" xfId="26" builtinId="32"/>
    <cellStyle name="60% - Accent2" xfId="30" builtinId="36"/>
    <cellStyle name="60% - Accent3" xfId="34" builtinId="40"/>
    <cellStyle name="60% - Accent4" xfId="38" builtinId="44"/>
    <cellStyle name="60% - Accent5" xfId="42" builtinId="48"/>
    <cellStyle name="60% - Accent6" xfId="46" builtinId="52"/>
    <cellStyle name="Accent1" xfId="23" builtinId="29"/>
    <cellStyle name="Accent2" xfId="27" builtinId="33"/>
    <cellStyle name="Accent3" xfId="31" builtinId="37"/>
    <cellStyle name="Accent4" xfId="35" builtinId="41"/>
    <cellStyle name="Accent5" xfId="39" builtinId="45"/>
    <cellStyle name="Accent6" xfId="43" builtinId="49"/>
    <cellStyle name="Bad" xfId="13" builtinId="27"/>
    <cellStyle name="Calculation" xfId="17" builtinId="22"/>
    <cellStyle name="Check Cell" xfId="19" builtinId="23"/>
    <cellStyle name="Comma" xfId="3" builtinId="3"/>
    <cellStyle name="Comma [0]" xfId="4" builtinId="6"/>
    <cellStyle name="Currency" xfId="5" builtinId="4"/>
    <cellStyle name="Currency [0]" xfId="6" builtinId="7"/>
    <cellStyle name="Explanatory Text" xfId="2" builtinId="53"/>
    <cellStyle name="Followed Hyperlink" xfId="48" builtinId="9"/>
    <cellStyle name="Good" xfId="12" builtinId="26"/>
    <cellStyle name="Heading 1" xfId="1" builtinId="16"/>
    <cellStyle name="Heading 2" xfId="9" builtinId="17"/>
    <cellStyle name="Heading 3" xfId="10" builtinId="18"/>
    <cellStyle name="Heading 4" xfId="11" builtinId="19"/>
    <cellStyle name="Hyperlink" xfId="47" builtinId="8"/>
    <cellStyle name="Input" xfId="15" builtinId="20"/>
    <cellStyle name="Linked Cell" xfId="18" builtinId="24"/>
    <cellStyle name="Neutral" xfId="14" builtinId="28"/>
    <cellStyle name="Normal" xfId="0" builtinId="0"/>
    <cellStyle name="Note" xfId="21" builtinId="10"/>
    <cellStyle name="Output" xfId="16" builtinId="21"/>
    <cellStyle name="Percent" xfId="7" builtinId="5"/>
    <cellStyle name="Title" xfId="8" builtinId="15"/>
    <cellStyle name="Total" xfId="22" builtinId="25"/>
    <cellStyle name="Warning Text" xfId="20" builtinId="11"/>
  </cellStyles>
  <dxfs count="13"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i val="0"/>
        <color theme="0"/>
      </font>
      <fill>
        <patternFill patternType="solid">
          <fgColor theme="1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CustomTableStyle" defaultPivotStyle="PivotStyleLight16">
    <tableStyle name="CustomTableStyle" pivot="0" count="9" xr9:uid="{C4E2C1FD-22A0-4C74-9FA9-88127D666BE1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secondRowStripe" dxfId="6"/>
      <tableStyleElement type="firstColumnStripe" dxfId="5"/>
      <tableStyleElement type="secondColumnStripe" dxfId="4"/>
    </tableStyle>
  </tableStyles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mmy Briggs" refreshedDate="44936.440309143516" createdVersion="7" refreshedVersion="7" minRefreshableVersion="3" recordCount="103" xr:uid="{324D3E38-B597-4808-9F55-A0690F699C04}">
  <cacheSource type="worksheet">
    <worksheetSource ref="AF8:AG111" sheet="DynDB_JobMetadata"/>
  </cacheSource>
  <cacheFields count="2">
    <cacheField name="Table" numFmtId="0">
      <sharedItems count="43">
        <s v="Base_BS_Topsides_SchRunOff"/>
        <s v="Current_BS_Topsides_Merged"/>
        <s v="Current_BS_Topsides_QtrLag_AvE/"/>
        <s v="Current_BS_Topsides_QtrLag_AvE"/>
        <s v="Historical_BS_Topsides_Merged"/>
        <s v="Historical_BS_Topsides_Othr"/>
        <s v="Historical_BS_Topsides_QtrLag"/>
        <s v="Historical_BS_Topsides_SchRunOff"/>
        <s v="Historical_TopsideMerged"/>
        <s v="Historical_TopsideQtrLag"/>
        <s v="Historical_TopsideSchRunOff"/>
        <s v="Historical_Val_Acct_BS_Voya"/>
        <s v="Historical_Val_Acct_BS"/>
        <s v="Historical_Val_Acct_IS"/>
        <s v="Input_BS_Prophet_VoyaBlock_Seriatim"/>
        <s v="Input_BS_Topsides_Merged"/>
        <s v="Input_BS_Topsides_Othr"/>
        <s v="Input_BS_Topsides_QtrLag_Actuals"/>
        <s v="Input_BS_Topsides_QtrLag"/>
        <s v="Input_BS_Topsides_SchRunOff_Filtered"/>
        <s v="Input_BS_Topsides_SchRunOff"/>
        <s v="Map_Balance_BS"/>
        <s v="Map_Balance_IS"/>
        <s v="Map_Block"/>
        <s v="Map_Company"/>
        <s v="Map_EntryType"/>
        <s v="Map_FinReins"/>
        <s v="Map_InputSource"/>
        <s v="Map_InsCode"/>
        <s v="Map_LE"/>
        <s v="Map_ProdType"/>
        <s v="Map_Product"/>
        <s v="Map_Reported"/>
        <s v="Map_Segment"/>
        <s v="Map_Source_Balance"/>
        <s v="Map_SubDeal"/>
        <s v="Map_SummaryCombos"/>
        <s v="Map_Topside_Approach"/>
        <s v="Map_Topside_Group"/>
        <s v="Meta_DataDictionary"/>
        <s v="Summary_BS_Topsides_Merged"/>
        <s v="Val_Acct_BS_RLUS"/>
        <s v="Val_Acct_BS_Voya"/>
      </sharedItems>
    </cacheField>
    <cacheField name="Pipeline" numFmtId="0">
      <sharedItems count="9">
        <s v="EBER"/>
        <s v="ELEB"/>
        <s v="EREJ"/>
        <s v="EJCC"/>
        <s v="ERCC"/>
        <s v="ERER"/>
        <s v="EBEX"/>
        <s v="EXCC"/>
        <s v="EJEJ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">
  <r>
    <x v="0"/>
    <x v="0"/>
  </r>
  <r>
    <x v="0"/>
    <x v="1"/>
  </r>
  <r>
    <x v="1"/>
    <x v="2"/>
  </r>
  <r>
    <x v="2"/>
    <x v="3"/>
  </r>
  <r>
    <x v="3"/>
    <x v="2"/>
  </r>
  <r>
    <x v="4"/>
    <x v="2"/>
  </r>
  <r>
    <x v="5"/>
    <x v="0"/>
  </r>
  <r>
    <x v="5"/>
    <x v="1"/>
  </r>
  <r>
    <x v="6"/>
    <x v="0"/>
  </r>
  <r>
    <x v="6"/>
    <x v="1"/>
  </r>
  <r>
    <x v="7"/>
    <x v="0"/>
  </r>
  <r>
    <x v="7"/>
    <x v="1"/>
  </r>
  <r>
    <x v="8"/>
    <x v="3"/>
  </r>
  <r>
    <x v="8"/>
    <x v="2"/>
  </r>
  <r>
    <x v="9"/>
    <x v="0"/>
  </r>
  <r>
    <x v="9"/>
    <x v="1"/>
  </r>
  <r>
    <x v="10"/>
    <x v="0"/>
  </r>
  <r>
    <x v="10"/>
    <x v="1"/>
  </r>
  <r>
    <x v="11"/>
    <x v="0"/>
  </r>
  <r>
    <x v="11"/>
    <x v="1"/>
  </r>
  <r>
    <x v="11"/>
    <x v="4"/>
  </r>
  <r>
    <x v="12"/>
    <x v="0"/>
  </r>
  <r>
    <x v="12"/>
    <x v="1"/>
  </r>
  <r>
    <x v="12"/>
    <x v="4"/>
  </r>
  <r>
    <x v="13"/>
    <x v="0"/>
  </r>
  <r>
    <x v="13"/>
    <x v="1"/>
  </r>
  <r>
    <x v="13"/>
    <x v="4"/>
  </r>
  <r>
    <x v="14"/>
    <x v="0"/>
  </r>
  <r>
    <x v="14"/>
    <x v="1"/>
  </r>
  <r>
    <x v="15"/>
    <x v="3"/>
  </r>
  <r>
    <x v="15"/>
    <x v="2"/>
  </r>
  <r>
    <x v="16"/>
    <x v="0"/>
  </r>
  <r>
    <x v="16"/>
    <x v="1"/>
  </r>
  <r>
    <x v="17"/>
    <x v="0"/>
  </r>
  <r>
    <x v="17"/>
    <x v="1"/>
  </r>
  <r>
    <x v="18"/>
    <x v="0"/>
  </r>
  <r>
    <x v="18"/>
    <x v="1"/>
  </r>
  <r>
    <x v="19"/>
    <x v="5"/>
  </r>
  <r>
    <x v="20"/>
    <x v="0"/>
  </r>
  <r>
    <x v="20"/>
    <x v="1"/>
  </r>
  <r>
    <x v="21"/>
    <x v="6"/>
  </r>
  <r>
    <x v="21"/>
    <x v="1"/>
  </r>
  <r>
    <x v="21"/>
    <x v="7"/>
  </r>
  <r>
    <x v="22"/>
    <x v="6"/>
  </r>
  <r>
    <x v="22"/>
    <x v="1"/>
  </r>
  <r>
    <x v="22"/>
    <x v="7"/>
  </r>
  <r>
    <x v="23"/>
    <x v="6"/>
  </r>
  <r>
    <x v="23"/>
    <x v="1"/>
  </r>
  <r>
    <x v="23"/>
    <x v="7"/>
  </r>
  <r>
    <x v="24"/>
    <x v="6"/>
  </r>
  <r>
    <x v="24"/>
    <x v="1"/>
  </r>
  <r>
    <x v="24"/>
    <x v="7"/>
  </r>
  <r>
    <x v="25"/>
    <x v="6"/>
  </r>
  <r>
    <x v="25"/>
    <x v="1"/>
  </r>
  <r>
    <x v="25"/>
    <x v="7"/>
  </r>
  <r>
    <x v="26"/>
    <x v="6"/>
  </r>
  <r>
    <x v="26"/>
    <x v="1"/>
  </r>
  <r>
    <x v="26"/>
    <x v="7"/>
  </r>
  <r>
    <x v="27"/>
    <x v="6"/>
  </r>
  <r>
    <x v="27"/>
    <x v="1"/>
  </r>
  <r>
    <x v="27"/>
    <x v="7"/>
  </r>
  <r>
    <x v="28"/>
    <x v="6"/>
  </r>
  <r>
    <x v="28"/>
    <x v="1"/>
  </r>
  <r>
    <x v="28"/>
    <x v="7"/>
  </r>
  <r>
    <x v="29"/>
    <x v="6"/>
  </r>
  <r>
    <x v="29"/>
    <x v="1"/>
  </r>
  <r>
    <x v="29"/>
    <x v="7"/>
  </r>
  <r>
    <x v="30"/>
    <x v="6"/>
  </r>
  <r>
    <x v="30"/>
    <x v="1"/>
  </r>
  <r>
    <x v="30"/>
    <x v="7"/>
  </r>
  <r>
    <x v="31"/>
    <x v="6"/>
  </r>
  <r>
    <x v="31"/>
    <x v="1"/>
  </r>
  <r>
    <x v="31"/>
    <x v="7"/>
  </r>
  <r>
    <x v="32"/>
    <x v="6"/>
  </r>
  <r>
    <x v="32"/>
    <x v="1"/>
  </r>
  <r>
    <x v="32"/>
    <x v="7"/>
  </r>
  <r>
    <x v="33"/>
    <x v="6"/>
  </r>
  <r>
    <x v="33"/>
    <x v="1"/>
  </r>
  <r>
    <x v="33"/>
    <x v="7"/>
  </r>
  <r>
    <x v="34"/>
    <x v="6"/>
  </r>
  <r>
    <x v="34"/>
    <x v="1"/>
  </r>
  <r>
    <x v="34"/>
    <x v="7"/>
  </r>
  <r>
    <x v="35"/>
    <x v="6"/>
  </r>
  <r>
    <x v="35"/>
    <x v="1"/>
  </r>
  <r>
    <x v="35"/>
    <x v="7"/>
  </r>
  <r>
    <x v="36"/>
    <x v="6"/>
  </r>
  <r>
    <x v="36"/>
    <x v="1"/>
  </r>
  <r>
    <x v="36"/>
    <x v="7"/>
  </r>
  <r>
    <x v="37"/>
    <x v="6"/>
  </r>
  <r>
    <x v="37"/>
    <x v="1"/>
  </r>
  <r>
    <x v="37"/>
    <x v="7"/>
  </r>
  <r>
    <x v="38"/>
    <x v="6"/>
  </r>
  <r>
    <x v="38"/>
    <x v="1"/>
  </r>
  <r>
    <x v="38"/>
    <x v="7"/>
  </r>
  <r>
    <x v="39"/>
    <x v="1"/>
  </r>
  <r>
    <x v="40"/>
    <x v="3"/>
  </r>
  <r>
    <x v="40"/>
    <x v="8"/>
  </r>
  <r>
    <x v="41"/>
    <x v="0"/>
  </r>
  <r>
    <x v="41"/>
    <x v="1"/>
  </r>
  <r>
    <x v="41"/>
    <x v="4"/>
  </r>
  <r>
    <x v="42"/>
    <x v="0"/>
  </r>
  <r>
    <x v="42"/>
    <x v="1"/>
  </r>
  <r>
    <x v="42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E7A5BF-596B-4E31-B7ED-DF397B7C0D93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07" firstHeaderRow="1" firstDataRow="1" firstDataCol="2"/>
  <pivotFields count="2">
    <pivotField axis="axisRow" outline="0" showAll="0" defaultSubtotal="0">
      <items count="43">
        <item x="0"/>
        <item x="1"/>
        <item x="3"/>
        <item x="2"/>
        <item x="4"/>
        <item x="5"/>
        <item x="6"/>
        <item x="7"/>
        <item x="8"/>
        <item x="9"/>
        <item x="10"/>
        <item x="12"/>
        <item x="11"/>
        <item x="13"/>
        <item x="14"/>
        <item x="15"/>
        <item x="16"/>
        <item x="18"/>
        <item x="17"/>
        <item x="20"/>
        <item x="19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0">
        <item x="1"/>
        <item x="0"/>
        <item x="6"/>
        <item x="3"/>
        <item x="8"/>
        <item x="4"/>
        <item x="2"/>
        <item x="5"/>
        <item x="7"/>
        <item t="default"/>
      </items>
    </pivotField>
  </pivotFields>
  <rowFields count="2">
    <field x="0"/>
    <field x="1"/>
  </rowFields>
  <rowItems count="104">
    <i>
      <x/>
      <x/>
    </i>
    <i r="1">
      <x v="1"/>
    </i>
    <i>
      <x v="1"/>
      <x v="6"/>
    </i>
    <i>
      <x v="2"/>
      <x v="6"/>
    </i>
    <i>
      <x v="3"/>
      <x v="3"/>
    </i>
    <i>
      <x v="4"/>
      <x v="6"/>
    </i>
    <i>
      <x v="5"/>
      <x/>
    </i>
    <i r="1">
      <x v="1"/>
    </i>
    <i>
      <x v="6"/>
      <x/>
    </i>
    <i r="1">
      <x v="1"/>
    </i>
    <i>
      <x v="7"/>
      <x/>
    </i>
    <i r="1">
      <x v="1"/>
    </i>
    <i>
      <x v="8"/>
      <x v="3"/>
    </i>
    <i r="1">
      <x v="6"/>
    </i>
    <i>
      <x v="9"/>
      <x/>
    </i>
    <i r="1">
      <x v="1"/>
    </i>
    <i>
      <x v="10"/>
      <x/>
    </i>
    <i r="1">
      <x v="1"/>
    </i>
    <i>
      <x v="11"/>
      <x/>
    </i>
    <i r="1">
      <x v="1"/>
    </i>
    <i r="1">
      <x v="5"/>
    </i>
    <i>
      <x v="12"/>
      <x/>
    </i>
    <i r="1">
      <x v="1"/>
    </i>
    <i r="1">
      <x v="5"/>
    </i>
    <i>
      <x v="13"/>
      <x/>
    </i>
    <i r="1">
      <x v="1"/>
    </i>
    <i r="1">
      <x v="5"/>
    </i>
    <i>
      <x v="14"/>
      <x/>
    </i>
    <i r="1">
      <x v="1"/>
    </i>
    <i>
      <x v="15"/>
      <x v="3"/>
    </i>
    <i r="1">
      <x v="6"/>
    </i>
    <i>
      <x v="16"/>
      <x/>
    </i>
    <i r="1">
      <x v="1"/>
    </i>
    <i>
      <x v="17"/>
      <x/>
    </i>
    <i r="1">
      <x v="1"/>
    </i>
    <i>
      <x v="18"/>
      <x/>
    </i>
    <i r="1">
      <x v="1"/>
    </i>
    <i>
      <x v="19"/>
      <x/>
    </i>
    <i r="1">
      <x v="1"/>
    </i>
    <i>
      <x v="20"/>
      <x v="7"/>
    </i>
    <i>
      <x v="21"/>
      <x/>
    </i>
    <i r="1">
      <x v="2"/>
    </i>
    <i r="1">
      <x v="8"/>
    </i>
    <i>
      <x v="22"/>
      <x/>
    </i>
    <i r="1">
      <x v="2"/>
    </i>
    <i r="1">
      <x v="8"/>
    </i>
    <i>
      <x v="23"/>
      <x/>
    </i>
    <i r="1">
      <x v="2"/>
    </i>
    <i r="1">
      <x v="8"/>
    </i>
    <i>
      <x v="24"/>
      <x/>
    </i>
    <i r="1">
      <x v="2"/>
    </i>
    <i r="1">
      <x v="8"/>
    </i>
    <i>
      <x v="25"/>
      <x/>
    </i>
    <i r="1">
      <x v="2"/>
    </i>
    <i r="1">
      <x v="8"/>
    </i>
    <i>
      <x v="26"/>
      <x/>
    </i>
    <i r="1">
      <x v="2"/>
    </i>
    <i r="1">
      <x v="8"/>
    </i>
    <i>
      <x v="27"/>
      <x/>
    </i>
    <i r="1">
      <x v="2"/>
    </i>
    <i r="1">
      <x v="8"/>
    </i>
    <i>
      <x v="28"/>
      <x/>
    </i>
    <i r="1">
      <x v="2"/>
    </i>
    <i r="1">
      <x v="8"/>
    </i>
    <i>
      <x v="29"/>
      <x/>
    </i>
    <i r="1">
      <x v="2"/>
    </i>
    <i r="1">
      <x v="8"/>
    </i>
    <i>
      <x v="30"/>
      <x/>
    </i>
    <i r="1">
      <x v="2"/>
    </i>
    <i r="1">
      <x v="8"/>
    </i>
    <i>
      <x v="31"/>
      <x/>
    </i>
    <i r="1">
      <x v="2"/>
    </i>
    <i r="1">
      <x v="8"/>
    </i>
    <i>
      <x v="32"/>
      <x/>
    </i>
    <i r="1">
      <x v="2"/>
    </i>
    <i r="1">
      <x v="8"/>
    </i>
    <i>
      <x v="33"/>
      <x/>
    </i>
    <i r="1">
      <x v="2"/>
    </i>
    <i r="1">
      <x v="8"/>
    </i>
    <i>
      <x v="34"/>
      <x/>
    </i>
    <i r="1">
      <x v="2"/>
    </i>
    <i r="1">
      <x v="8"/>
    </i>
    <i>
      <x v="35"/>
      <x/>
    </i>
    <i r="1">
      <x v="2"/>
    </i>
    <i r="1">
      <x v="8"/>
    </i>
    <i>
      <x v="36"/>
      <x/>
    </i>
    <i r="1">
      <x v="2"/>
    </i>
    <i r="1">
      <x v="8"/>
    </i>
    <i>
      <x v="37"/>
      <x/>
    </i>
    <i r="1">
      <x v="2"/>
    </i>
    <i r="1">
      <x v="8"/>
    </i>
    <i>
      <x v="38"/>
      <x/>
    </i>
    <i r="1">
      <x v="2"/>
    </i>
    <i r="1">
      <x v="8"/>
    </i>
    <i>
      <x v="39"/>
      <x/>
    </i>
    <i>
      <x v="40"/>
      <x v="3"/>
    </i>
    <i r="1">
      <x v="4"/>
    </i>
    <i>
      <x v="41"/>
      <x/>
    </i>
    <i r="1">
      <x v="1"/>
    </i>
    <i r="1">
      <x v="5"/>
    </i>
    <i>
      <x v="42"/>
      <x/>
    </i>
    <i r="1">
      <x v="1"/>
    </i>
    <i r="1">
      <x v="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B54A9E-B704-4F9A-AAE6-F29D90B6BEE0}" name="tbl_Styles" displayName="tbl_Styles" ref="A5:C54" totalsRowShown="0" headerRowDxfId="3">
  <autoFilter ref="A5:C54" xr:uid="{27B54A9E-B704-4F9A-AAE6-F29D90B6BEE0}"/>
  <tableColumns count="3">
    <tableColumn id="1" xr3:uid="{9249461E-F83D-41E0-963A-942F4C56CF96}" name="Style Name" dataDxfId="2"/>
    <tableColumn id="2" xr3:uid="{AC75CC92-079D-4A51-8D1F-C244AF6DF531}" name="Example"/>
    <tableColumn id="3" xr3:uid="{2A6ADFB3-BD0E-468C-B35B-6DA4CC696122}" name="Type" dataDxfId="1"/>
  </tableColumns>
  <tableStyleInfo name="CustomTable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A6A51-CDD2-4F49-AF9A-720762DAAC0F}" name="tbl_DynDB_JOB_METADATA" displayName="tbl_DynDB_JOB_METADATA" comment="List Object/Table Containing Output for the ACTVAL JOB.METADATA Table Items from AWS DynamoDB Actuarial Domain" ref="A8:AB111" totalsRowShown="0" headerRowDxfId="0">
  <autoFilter ref="A8:AB111" xr:uid="{00DA6A51-CDD2-4F49-AF9A-720762DAAC0F}"/>
  <tableColumns count="28">
    <tableColumn id="1" xr3:uid="{5EFCCCAF-33B5-405A-8BBF-54A0437B496B}" name="JobId"/>
    <tableColumn id="2" xr3:uid="{662CD699-A899-4F40-919A-3077A6AB33BE}" name="CatalogDataBaseName"/>
    <tableColumn id="3" xr3:uid="{91EE8810-CBF2-4A63-84C3-C3B04B9C113A}" name="CatalogTableName"/>
    <tableColumn id="4" xr3:uid="{76FA837E-433E-45F0-8AB1-37D93B81D4D7}" name="CreateCatalog"/>
    <tableColumn id="5" xr3:uid="{E388DE9C-7FBB-4E8A-B32F-8FC321786834}" name="Delimiter"/>
    <tableColumn id="6" xr3:uid="{5470DE1F-F0E7-4F47-A923-9633CD345F0E}" name="DestinationS3Path"/>
    <tableColumn id="7" xr3:uid="{F7686B12-9962-4945-B92C-D5CC5088CC9A}" name="file"/>
    <tableColumn id="8" xr3:uid="{81A8E56A-F4ED-4A25-B299-EE1A768E7937}" name="FileType"/>
    <tableColumn id="9" xr3:uid="{0295A636-4DED-49AF-8D75-D16540E2F54F}" name="InputCatalogDBName"/>
    <tableColumn id="10" xr3:uid="{E5E846E4-7E70-47D3-9601-EAA39597529E}" name="InputCatalogPartitionKeys"/>
    <tableColumn id="11" xr3:uid="{A1FCD8C9-A926-47FA-AA8E-35465A1A3E20}" name="InputCatalogTableName"/>
    <tableColumn id="12" xr3:uid="{9FF3A606-E0E3-42BA-BA7E-BEF1061F1462}" name="InputPath"/>
    <tableColumn id="13" xr3:uid="{17AB63FA-75CF-44E7-99F4-17206F0BCD7E}" name="MaxErrors"/>
    <tableColumn id="14" xr3:uid="{F129CE67-A3C8-4A22-AA84-D962FF14B356}" name="MaxWarnings"/>
    <tableColumn id="15" xr3:uid="{68B30D3A-2C19-42FB-814E-EE4C33378E78}" name="OutputFileType"/>
    <tableColumn id="16" xr3:uid="{C3B3711E-3F4E-4EA1-A0FF-693E042D7F61}" name="PartitionKeys"/>
    <tableColumn id="17" xr3:uid="{576E6D03-BC6C-490F-BCA1-0D57F5E22550}" name="RerunFlag"/>
    <tableColumn id="18" xr3:uid="{6281B76D-1318-48A7-92CA-B56249E292E0}" name="S3InputBucketName"/>
    <tableColumn id="19" xr3:uid="{FE490F1E-8D17-4812-95F0-50766D008353}" name="S3OutputBucketName"/>
    <tableColumn id="20" xr3:uid="{A0414103-41B8-4CF2-93FA-EAB5A4E4B897}" name="SchedulingJobDependencies"/>
    <tableColumn id="21" xr3:uid="{C0C71E2F-A170-422D-939A-D3D872E3EE9C}" name="skipAddAuditingAttributes"/>
    <tableColumn id="22" xr3:uid="{3DF24A39-74BE-4D32-9B74-BAE57DDD82BC}" name="SkipLinesStartsWith"/>
    <tableColumn id="23" xr3:uid="{D00D9520-E842-4418-AB62-05877FEEB9BB}" name="SourceSystemName"/>
    <tableColumn id="24" xr3:uid="{4F3D960D-CE37-47E9-88EF-B43B61CF4097}" name="SourceTableName"/>
    <tableColumn id="25" xr3:uid="{5220EBA0-4E5E-4844-AB9B-C44B33698E25}" name="SuccessFileRequired"/>
    <tableColumn id="26" xr3:uid="{D644BFE0-139F-4CFF-AB5E-BFDC0C4FBB6F}" name="SuccessorJobId"/>
    <tableColumn id="27" xr3:uid="{F4862CD0-D047-4168-BA60-595324F4B7A0}" name="TransformationQuery"/>
    <tableColumn id="28" xr3:uid="{7C9E4DBC-F01B-4EAA-9C59-81E3A407E383}" name="TransformationTableName"/>
  </tableColumns>
  <tableStyleInfo name="CustomTableStyle" showFirstColumn="0" showLastColumn="0" showRowStripes="1" showColumnStripes="1"/>
</table>
</file>

<file path=xl/theme/theme1.xml><?xml version="1.0" encoding="utf-8"?>
<a:theme xmlns:a="http://schemas.openxmlformats.org/drawingml/2006/main" name="RLUSTheme">
  <a:themeElements>
    <a:clrScheme name="CustomXLColors">
      <a:dk1>
        <a:srgbClr val="202A44"/>
      </a:dk1>
      <a:lt1>
        <a:srgbClr val="FFFFFF"/>
      </a:lt1>
      <a:dk2>
        <a:srgbClr val="003300"/>
      </a:dk2>
      <a:lt2>
        <a:srgbClr val="D7D2CB"/>
      </a:lt2>
      <a:accent1>
        <a:srgbClr val="00AB84"/>
      </a:accent1>
      <a:accent2>
        <a:srgbClr val="2C5697"/>
      </a:accent2>
      <a:accent3>
        <a:srgbClr val="05C3DD"/>
      </a:accent3>
      <a:accent4>
        <a:srgbClr val="4C82A8"/>
      </a:accent4>
      <a:accent5>
        <a:srgbClr val="7965B2"/>
      </a:accent5>
      <a:accent6>
        <a:srgbClr val="63B1BC"/>
      </a:accent6>
      <a:hlink>
        <a:srgbClr val="D7D2CB"/>
      </a:hlink>
      <a:folHlink>
        <a:srgbClr val="FFFFFF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B36FB-1824-4B3E-A657-EE2E5B229FE4}">
  <sheetPr codeName="shInput"/>
  <dimension ref="A1"/>
  <sheetViews>
    <sheetView tabSelected="1" workbookViewId="0">
      <selection activeCell="K2" sqref="K2"/>
    </sheetView>
  </sheetViews>
  <sheetFormatPr defaultRowHeight="14.2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B1848-8D50-44D9-A113-4BB43122BCF2}">
  <sheetPr codeName="shContents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B18EB-0639-4AA0-8166-11B1AE71161C}">
  <sheetPr codeName="shChangelog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03E23-3229-4991-9D2D-06064D91C801}">
  <sheetPr codeName="Sheet32"/>
  <dimension ref="B2:F24"/>
  <sheetViews>
    <sheetView workbookViewId="0"/>
  </sheetViews>
  <sheetFormatPr defaultRowHeight="14.25" x14ac:dyDescent="0.2"/>
  <cols>
    <col min="2" max="2" width="17.875" bestFit="1" customWidth="1"/>
    <col min="3" max="3" width="9.875" bestFit="1" customWidth="1"/>
  </cols>
  <sheetData>
    <row r="2" spans="2:6" x14ac:dyDescent="0.2">
      <c r="B2" t="s">
        <v>753</v>
      </c>
    </row>
    <row r="3" spans="2:6" x14ac:dyDescent="0.2">
      <c r="B3" t="s">
        <v>747</v>
      </c>
      <c r="C3" t="s">
        <v>755</v>
      </c>
      <c r="F3" t="s">
        <v>754</v>
      </c>
    </row>
    <row r="4" spans="2:6" x14ac:dyDescent="0.2">
      <c r="B4" t="s">
        <v>682</v>
      </c>
      <c r="C4" t="s">
        <v>6</v>
      </c>
      <c r="F4" t="s">
        <v>693</v>
      </c>
    </row>
    <row r="5" spans="2:6" x14ac:dyDescent="0.2">
      <c r="B5" t="s">
        <v>684</v>
      </c>
      <c r="C5" s="4" t="s">
        <v>6</v>
      </c>
      <c r="F5" t="s">
        <v>694</v>
      </c>
    </row>
    <row r="6" spans="2:6" x14ac:dyDescent="0.2">
      <c r="B6" t="s">
        <v>685</v>
      </c>
      <c r="C6" s="4" t="s">
        <v>6</v>
      </c>
      <c r="F6" t="s">
        <v>695</v>
      </c>
    </row>
    <row r="7" spans="2:6" x14ac:dyDescent="0.2">
      <c r="B7" t="s">
        <v>686</v>
      </c>
      <c r="C7" s="4" t="s">
        <v>6</v>
      </c>
      <c r="F7" t="s">
        <v>696</v>
      </c>
    </row>
    <row r="8" spans="2:6" x14ac:dyDescent="0.2">
      <c r="B8" t="s">
        <v>687</v>
      </c>
      <c r="C8" s="4" t="s">
        <v>6</v>
      </c>
      <c r="F8" t="s">
        <v>697</v>
      </c>
    </row>
    <row r="9" spans="2:6" x14ac:dyDescent="0.2">
      <c r="B9" t="s">
        <v>688</v>
      </c>
      <c r="C9" s="4" t="s">
        <v>6</v>
      </c>
    </row>
    <row r="10" spans="2:6" x14ac:dyDescent="0.2">
      <c r="B10" t="s">
        <v>689</v>
      </c>
      <c r="C10" s="4" t="s">
        <v>6</v>
      </c>
      <c r="F10" t="s">
        <v>752</v>
      </c>
    </row>
    <row r="11" spans="2:6" x14ac:dyDescent="0.2">
      <c r="B11" t="s">
        <v>690</v>
      </c>
      <c r="C11" s="4" t="s">
        <v>6</v>
      </c>
    </row>
    <row r="12" spans="2:6" x14ac:dyDescent="0.2">
      <c r="B12" t="s">
        <v>683</v>
      </c>
      <c r="C12" s="4" t="s">
        <v>6</v>
      </c>
    </row>
    <row r="13" spans="2:6" x14ac:dyDescent="0.2">
      <c r="B13" t="s">
        <v>691</v>
      </c>
      <c r="C13" s="4" t="s">
        <v>6</v>
      </c>
    </row>
    <row r="14" spans="2:6" x14ac:dyDescent="0.2">
      <c r="B14" t="s">
        <v>692</v>
      </c>
      <c r="C14" s="4" t="s">
        <v>6</v>
      </c>
    </row>
    <row r="15" spans="2:6" x14ac:dyDescent="0.2">
      <c r="B15" t="s">
        <v>673</v>
      </c>
      <c r="C15" t="s">
        <v>723</v>
      </c>
    </row>
    <row r="16" spans="2:6" x14ac:dyDescent="0.2">
      <c r="B16" t="s">
        <v>672</v>
      </c>
      <c r="C16" s="4" t="s">
        <v>723</v>
      </c>
    </row>
    <row r="17" spans="2:3" x14ac:dyDescent="0.2">
      <c r="B17" t="s">
        <v>674</v>
      </c>
      <c r="C17" s="4" t="s">
        <v>723</v>
      </c>
    </row>
    <row r="18" spans="2:3" x14ac:dyDescent="0.2">
      <c r="B18" t="s">
        <v>675</v>
      </c>
      <c r="C18" s="4" t="s">
        <v>723</v>
      </c>
    </row>
    <row r="19" spans="2:3" x14ac:dyDescent="0.2">
      <c r="B19" t="s">
        <v>676</v>
      </c>
      <c r="C19" s="4" t="s">
        <v>723</v>
      </c>
    </row>
    <row r="20" spans="2:3" x14ac:dyDescent="0.2">
      <c r="B20" t="s">
        <v>677</v>
      </c>
      <c r="C20" s="4" t="s">
        <v>723</v>
      </c>
    </row>
    <row r="21" spans="2:3" x14ac:dyDescent="0.2">
      <c r="B21" t="s">
        <v>678</v>
      </c>
      <c r="C21" s="4" t="s">
        <v>723</v>
      </c>
    </row>
    <row r="22" spans="2:3" x14ac:dyDescent="0.2">
      <c r="B22" t="s">
        <v>679</v>
      </c>
      <c r="C22" s="4" t="s">
        <v>723</v>
      </c>
    </row>
    <row r="23" spans="2:3" x14ac:dyDescent="0.2">
      <c r="B23" t="s">
        <v>680</v>
      </c>
      <c r="C23" s="4" t="s">
        <v>723</v>
      </c>
    </row>
    <row r="24" spans="2:3" x14ac:dyDescent="0.2">
      <c r="B24" t="s">
        <v>681</v>
      </c>
      <c r="C24" s="4" t="s">
        <v>723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7F78D-FAF7-4A9C-A391-3255A4BCAD7D}">
  <sheetPr codeName="shStyles"/>
  <dimension ref="A1:C54"/>
  <sheetViews>
    <sheetView workbookViewId="0"/>
  </sheetViews>
  <sheetFormatPr defaultRowHeight="14.25" x14ac:dyDescent="0.2"/>
  <cols>
    <col min="1" max="1" width="27.375" bestFit="1" customWidth="1"/>
    <col min="2" max="2" width="12.375" bestFit="1" customWidth="1"/>
    <col min="3" max="3" width="9.25" bestFit="1" customWidth="1"/>
  </cols>
  <sheetData>
    <row r="1" spans="1:3" s="4" customFormat="1" ht="20.25" thickBot="1" x14ac:dyDescent="0.35">
      <c r="A1" s="2" t="s">
        <v>750</v>
      </c>
    </row>
    <row r="2" spans="1:3" s="4" customFormat="1" ht="15" thickTop="1" x14ac:dyDescent="0.2">
      <c r="A2" s="3" t="s">
        <v>751</v>
      </c>
    </row>
    <row r="3" spans="1:3" s="4" customFormat="1" x14ac:dyDescent="0.2"/>
    <row r="5" spans="1:3" x14ac:dyDescent="0.2">
      <c r="A5" s="1" t="s">
        <v>747</v>
      </c>
      <c r="B5" s="1" t="s">
        <v>748</v>
      </c>
      <c r="C5" s="1" t="s">
        <v>749</v>
      </c>
    </row>
    <row r="6" spans="1:3" x14ac:dyDescent="0.2">
      <c r="A6" s="68" t="s">
        <v>698</v>
      </c>
      <c r="B6" s="23"/>
      <c r="C6" s="1" t="s">
        <v>746</v>
      </c>
    </row>
    <row r="7" spans="1:3" x14ac:dyDescent="0.2">
      <c r="A7" s="69" t="s">
        <v>699</v>
      </c>
      <c r="B7" s="24"/>
      <c r="C7" s="1" t="s">
        <v>746</v>
      </c>
    </row>
    <row r="8" spans="1:3" x14ac:dyDescent="0.2">
      <c r="A8" s="70" t="s">
        <v>700</v>
      </c>
      <c r="B8" s="25"/>
      <c r="C8" s="1" t="s">
        <v>746</v>
      </c>
    </row>
    <row r="9" spans="1:3" x14ac:dyDescent="0.2">
      <c r="A9" s="71" t="s">
        <v>701</v>
      </c>
      <c r="B9" s="26"/>
      <c r="C9" s="1" t="s">
        <v>746</v>
      </c>
    </row>
    <row r="10" spans="1:3" x14ac:dyDescent="0.2">
      <c r="A10" s="72" t="s">
        <v>702</v>
      </c>
      <c r="B10" s="27"/>
      <c r="C10" s="1" t="s">
        <v>746</v>
      </c>
    </row>
    <row r="11" spans="1:3" x14ac:dyDescent="0.2">
      <c r="A11" s="73" t="s">
        <v>703</v>
      </c>
      <c r="B11" s="28"/>
      <c r="C11" s="1" t="s">
        <v>746</v>
      </c>
    </row>
    <row r="12" spans="1:3" x14ac:dyDescent="0.2">
      <c r="A12" s="74" t="s">
        <v>704</v>
      </c>
      <c r="B12" s="29"/>
      <c r="C12" s="1" t="s">
        <v>746</v>
      </c>
    </row>
    <row r="13" spans="1:3" x14ac:dyDescent="0.2">
      <c r="A13" s="75" t="s">
        <v>705</v>
      </c>
      <c r="B13" s="30"/>
      <c r="C13" s="1" t="s">
        <v>746</v>
      </c>
    </row>
    <row r="14" spans="1:3" x14ac:dyDescent="0.2">
      <c r="A14" s="76" t="s">
        <v>706</v>
      </c>
      <c r="B14" s="31"/>
      <c r="C14" s="1" t="s">
        <v>746</v>
      </c>
    </row>
    <row r="15" spans="1:3" x14ac:dyDescent="0.2">
      <c r="A15" s="77" t="s">
        <v>707</v>
      </c>
      <c r="B15" s="32"/>
      <c r="C15" s="1" t="s">
        <v>746</v>
      </c>
    </row>
    <row r="16" spans="1:3" x14ac:dyDescent="0.2">
      <c r="A16" s="78" t="s">
        <v>708</v>
      </c>
      <c r="B16" s="33"/>
      <c r="C16" s="1" t="s">
        <v>746</v>
      </c>
    </row>
    <row r="17" spans="1:3" x14ac:dyDescent="0.2">
      <c r="A17" s="79" t="s">
        <v>709</v>
      </c>
      <c r="B17" s="34"/>
      <c r="C17" s="1" t="s">
        <v>746</v>
      </c>
    </row>
    <row r="18" spans="1:3" x14ac:dyDescent="0.2">
      <c r="A18" s="80" t="s">
        <v>710</v>
      </c>
      <c r="B18" s="35"/>
      <c r="C18" s="1" t="s">
        <v>746</v>
      </c>
    </row>
    <row r="19" spans="1:3" x14ac:dyDescent="0.2">
      <c r="A19" s="81" t="s">
        <v>711</v>
      </c>
      <c r="B19" s="36"/>
      <c r="C19" s="1" t="s">
        <v>746</v>
      </c>
    </row>
    <row r="20" spans="1:3" x14ac:dyDescent="0.2">
      <c r="A20" s="82" t="s">
        <v>712</v>
      </c>
      <c r="B20" s="37"/>
      <c r="C20" s="1" t="s">
        <v>746</v>
      </c>
    </row>
    <row r="21" spans="1:3" x14ac:dyDescent="0.2">
      <c r="A21" s="83" t="s">
        <v>713</v>
      </c>
      <c r="B21" s="38"/>
      <c r="C21" s="1" t="s">
        <v>746</v>
      </c>
    </row>
    <row r="22" spans="1:3" x14ac:dyDescent="0.2">
      <c r="A22" s="84" t="s">
        <v>714</v>
      </c>
      <c r="B22" s="39"/>
      <c r="C22" s="1" t="s">
        <v>746</v>
      </c>
    </row>
    <row r="23" spans="1:3" x14ac:dyDescent="0.2">
      <c r="A23" s="85" t="s">
        <v>715</v>
      </c>
      <c r="B23" s="40"/>
      <c r="C23" s="1" t="s">
        <v>746</v>
      </c>
    </row>
    <row r="24" spans="1:3" x14ac:dyDescent="0.2">
      <c r="A24" s="86" t="s">
        <v>716</v>
      </c>
      <c r="B24" s="41"/>
      <c r="C24" s="1" t="s">
        <v>746</v>
      </c>
    </row>
    <row r="25" spans="1:3" x14ac:dyDescent="0.2">
      <c r="A25" s="87" t="s">
        <v>717</v>
      </c>
      <c r="B25" s="42"/>
      <c r="C25" s="1" t="s">
        <v>746</v>
      </c>
    </row>
    <row r="26" spans="1:3" x14ac:dyDescent="0.2">
      <c r="A26" s="88" t="s">
        <v>718</v>
      </c>
      <c r="B26" s="43"/>
      <c r="C26" s="1" t="s">
        <v>746</v>
      </c>
    </row>
    <row r="27" spans="1:3" x14ac:dyDescent="0.2">
      <c r="A27" s="89" t="s">
        <v>719</v>
      </c>
      <c r="B27" s="44"/>
      <c r="C27" s="1" t="s">
        <v>746</v>
      </c>
    </row>
    <row r="28" spans="1:3" x14ac:dyDescent="0.2">
      <c r="A28" s="90" t="s">
        <v>720</v>
      </c>
      <c r="B28" s="45"/>
      <c r="C28" s="1" t="s">
        <v>746</v>
      </c>
    </row>
    <row r="29" spans="1:3" x14ac:dyDescent="0.2">
      <c r="A29" s="91" t="s">
        <v>721</v>
      </c>
      <c r="B29" s="46"/>
      <c r="C29" s="1" t="s">
        <v>746</v>
      </c>
    </row>
    <row r="30" spans="1:3" x14ac:dyDescent="0.2">
      <c r="A30" s="92" t="s">
        <v>722</v>
      </c>
      <c r="B30" s="47"/>
      <c r="C30" s="1" t="s">
        <v>746</v>
      </c>
    </row>
    <row r="31" spans="1:3" ht="15.75" thickBot="1" x14ac:dyDescent="0.3">
      <c r="A31" s="93" t="s">
        <v>723</v>
      </c>
      <c r="B31" s="48"/>
      <c r="C31" s="1" t="s">
        <v>746</v>
      </c>
    </row>
    <row r="32" spans="1:3" ht="16.5" thickTop="1" thickBot="1" x14ac:dyDescent="0.3">
      <c r="A32" s="94" t="s">
        <v>724</v>
      </c>
      <c r="B32" s="49"/>
      <c r="C32" s="1" t="s">
        <v>746</v>
      </c>
    </row>
    <row r="33" spans="1:3" ht="15" thickTop="1" x14ac:dyDescent="0.2">
      <c r="A33" s="95" t="s">
        <v>725</v>
      </c>
      <c r="B33" s="50"/>
      <c r="C33" s="1" t="s">
        <v>746</v>
      </c>
    </row>
    <row r="34" spans="1:3" x14ac:dyDescent="0.2">
      <c r="A34" s="96" t="s">
        <v>726</v>
      </c>
      <c r="B34" s="51"/>
      <c r="C34" s="1" t="s">
        <v>746</v>
      </c>
    </row>
    <row r="35" spans="1:3" x14ac:dyDescent="0.2">
      <c r="A35" s="97" t="s">
        <v>727</v>
      </c>
      <c r="B35" s="52"/>
      <c r="C35" s="1" t="s">
        <v>746</v>
      </c>
    </row>
    <row r="36" spans="1:3" x14ac:dyDescent="0.2">
      <c r="A36" s="98" t="s">
        <v>728</v>
      </c>
      <c r="B36" s="53"/>
      <c r="C36" s="1" t="s">
        <v>746</v>
      </c>
    </row>
    <row r="37" spans="1:3" x14ac:dyDescent="0.2">
      <c r="A37" s="99" t="s">
        <v>729</v>
      </c>
      <c r="B37" s="3"/>
      <c r="C37" s="1" t="s">
        <v>746</v>
      </c>
    </row>
    <row r="38" spans="1:3" x14ac:dyDescent="0.2">
      <c r="A38" s="100" t="s">
        <v>730</v>
      </c>
      <c r="B38" s="54"/>
      <c r="C38" s="1" t="s">
        <v>746</v>
      </c>
    </row>
    <row r="39" spans="1:3" x14ac:dyDescent="0.2">
      <c r="A39" s="101" t="s">
        <v>731</v>
      </c>
      <c r="B39" s="55"/>
      <c r="C39" s="1" t="s">
        <v>746</v>
      </c>
    </row>
    <row r="40" spans="1:3" ht="20.25" thickBot="1" x14ac:dyDescent="0.35">
      <c r="A40" s="9" t="s">
        <v>732</v>
      </c>
      <c r="B40" s="2"/>
      <c r="C40" s="1" t="s">
        <v>746</v>
      </c>
    </row>
    <row r="41" spans="1:3" ht="18" thickTop="1" thickBot="1" x14ac:dyDescent="0.3">
      <c r="A41" s="102" t="s">
        <v>733</v>
      </c>
      <c r="B41" s="56"/>
      <c r="C41" s="1" t="s">
        <v>746</v>
      </c>
    </row>
    <row r="42" spans="1:3" ht="16.5" thickTop="1" thickBot="1" x14ac:dyDescent="0.3">
      <c r="A42" s="103" t="s">
        <v>734</v>
      </c>
      <c r="B42" s="57"/>
      <c r="C42" s="1" t="s">
        <v>746</v>
      </c>
    </row>
    <row r="43" spans="1:3" ht="15" x14ac:dyDescent="0.25">
      <c r="A43" s="104" t="s">
        <v>735</v>
      </c>
      <c r="B43" s="58"/>
      <c r="C43" s="1" t="s">
        <v>746</v>
      </c>
    </row>
    <row r="44" spans="1:3" x14ac:dyDescent="0.2">
      <c r="A44" s="105" t="s">
        <v>736</v>
      </c>
      <c r="B44" s="59"/>
      <c r="C44" s="1" t="s">
        <v>746</v>
      </c>
    </row>
    <row r="45" spans="1:3" x14ac:dyDescent="0.2">
      <c r="A45" s="106" t="s">
        <v>6</v>
      </c>
      <c r="B45" s="60"/>
      <c r="C45" s="1" t="s">
        <v>746</v>
      </c>
    </row>
    <row r="46" spans="1:3" ht="15" thickBot="1" x14ac:dyDescent="0.25">
      <c r="A46" s="107" t="s">
        <v>737</v>
      </c>
      <c r="B46" s="61"/>
      <c r="C46" s="1" t="s">
        <v>746</v>
      </c>
    </row>
    <row r="47" spans="1:3" ht="15" thickTop="1" x14ac:dyDescent="0.2">
      <c r="A47" s="108" t="s">
        <v>738</v>
      </c>
      <c r="B47" s="62"/>
      <c r="C47" s="1" t="s">
        <v>746</v>
      </c>
    </row>
    <row r="48" spans="1:3" x14ac:dyDescent="0.2">
      <c r="A48" s="1" t="s">
        <v>739</v>
      </c>
      <c r="B48" s="4"/>
      <c r="C48" s="1" t="s">
        <v>746</v>
      </c>
    </row>
    <row r="49" spans="1:3" x14ac:dyDescent="0.2">
      <c r="A49" s="109" t="s">
        <v>740</v>
      </c>
      <c r="B49" s="63"/>
      <c r="C49" s="1" t="s">
        <v>746</v>
      </c>
    </row>
    <row r="50" spans="1:3" ht="15" x14ac:dyDescent="0.25">
      <c r="A50" s="110" t="s">
        <v>741</v>
      </c>
      <c r="B50" s="64"/>
      <c r="C50" s="1" t="s">
        <v>746</v>
      </c>
    </row>
    <row r="51" spans="1:3" x14ac:dyDescent="0.2">
      <c r="A51" s="111" t="s">
        <v>742</v>
      </c>
      <c r="B51" s="65"/>
      <c r="C51" s="1" t="s">
        <v>746</v>
      </c>
    </row>
    <row r="52" spans="1:3" ht="23.25" x14ac:dyDescent="0.35">
      <c r="A52" s="112" t="s">
        <v>743</v>
      </c>
      <c r="B52" s="66"/>
      <c r="C52" s="1" t="s">
        <v>746</v>
      </c>
    </row>
    <row r="53" spans="1:3" ht="15.75" thickBot="1" x14ac:dyDescent="0.3">
      <c r="A53" s="113" t="s">
        <v>744</v>
      </c>
      <c r="B53" s="67"/>
      <c r="C53" s="1" t="s">
        <v>746</v>
      </c>
    </row>
    <row r="54" spans="1:3" ht="15" thickTop="1" x14ac:dyDescent="0.2">
      <c r="A54" s="114" t="s">
        <v>745</v>
      </c>
      <c r="B54" s="11"/>
      <c r="C54" s="1" t="s">
        <v>746</v>
      </c>
    </row>
  </sheetData>
  <phoneticPr fontId="2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AD324-46B2-4289-8590-C81E66809BDF}">
  <sheetPr codeName="shNotes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3A28E-995B-4C1C-9574-7F0BC2F2B124}">
  <sheetPr codeName="Sheet31"/>
  <dimension ref="A1:M3"/>
  <sheetViews>
    <sheetView workbookViewId="0"/>
  </sheetViews>
  <sheetFormatPr defaultRowHeight="14.25" x14ac:dyDescent="0.2"/>
  <cols>
    <col min="1" max="1" width="31.75" style="14" customWidth="1"/>
    <col min="2" max="2" width="47.625" style="18" customWidth="1"/>
    <col min="3" max="3" width="60.625" style="14" customWidth="1"/>
    <col min="4" max="4" width="6.75" style="14" customWidth="1"/>
    <col min="5" max="5" width="10.875" style="14" customWidth="1"/>
    <col min="6" max="6" width="6.625" style="14" customWidth="1"/>
    <col min="7" max="7" width="11.875" style="14" customWidth="1"/>
    <col min="8" max="8" width="8.25" style="14" customWidth="1"/>
    <col min="9" max="9" width="6.625" style="14" customWidth="1"/>
    <col min="10" max="10" width="5.875" style="14" customWidth="1"/>
    <col min="11" max="11" width="5.375" style="14" customWidth="1"/>
    <col min="12" max="12" width="11" style="14" customWidth="1"/>
    <col min="13" max="13" width="57.625" style="14" customWidth="1"/>
    <col min="14" max="16384" width="9" style="14"/>
  </cols>
  <sheetData>
    <row r="1" spans="1:13" ht="15" x14ac:dyDescent="0.25">
      <c r="A1" s="15" t="s">
        <v>643</v>
      </c>
      <c r="B1" s="16" t="s">
        <v>644</v>
      </c>
      <c r="C1" s="15" t="s">
        <v>645</v>
      </c>
      <c r="D1" s="15" t="s">
        <v>646</v>
      </c>
      <c r="E1" s="15" t="s">
        <v>647</v>
      </c>
      <c r="F1" s="15" t="s">
        <v>648</v>
      </c>
      <c r="G1" s="15" t="s">
        <v>649</v>
      </c>
      <c r="H1" s="15" t="s">
        <v>650</v>
      </c>
      <c r="I1" s="15" t="s">
        <v>651</v>
      </c>
      <c r="J1" s="15" t="s">
        <v>652</v>
      </c>
      <c r="K1" s="15" t="s">
        <v>653</v>
      </c>
      <c r="L1" s="15" t="s">
        <v>654</v>
      </c>
      <c r="M1" s="15" t="s">
        <v>655</v>
      </c>
    </row>
    <row r="2" spans="1:13" x14ac:dyDescent="0.2">
      <c r="A2" s="14" t="s">
        <v>656</v>
      </c>
      <c r="B2" s="17" t="s">
        <v>657</v>
      </c>
      <c r="C2" s="14" t="s">
        <v>63</v>
      </c>
      <c r="D2" s="14" t="b">
        <v>0</v>
      </c>
      <c r="E2" s="14" t="b">
        <v>1</v>
      </c>
      <c r="F2" s="14" t="b">
        <v>0</v>
      </c>
      <c r="G2" s="14" t="b">
        <v>0</v>
      </c>
      <c r="H2" s="14" t="b">
        <v>0</v>
      </c>
      <c r="I2" s="14" t="b">
        <v>0</v>
      </c>
      <c r="J2" s="14">
        <v>1</v>
      </c>
      <c r="K2" s="14">
        <v>2912</v>
      </c>
      <c r="L2" s="14" t="s">
        <v>658</v>
      </c>
      <c r="M2" s="14" t="s">
        <v>659</v>
      </c>
    </row>
    <row r="3" spans="1:13" x14ac:dyDescent="0.2">
      <c r="A3" s="14" t="s">
        <v>660</v>
      </c>
      <c r="B3" s="17" t="s">
        <v>661</v>
      </c>
      <c r="C3" s="14" t="s">
        <v>662</v>
      </c>
      <c r="D3" s="14" t="b">
        <v>1</v>
      </c>
      <c r="E3" s="14" t="b">
        <v>0</v>
      </c>
      <c r="F3" s="14" t="b">
        <v>0</v>
      </c>
      <c r="G3" s="14" t="b">
        <v>0</v>
      </c>
      <c r="H3" s="14" t="b">
        <v>0</v>
      </c>
      <c r="I3" s="14" t="b">
        <v>0</v>
      </c>
      <c r="J3" s="14">
        <v>1</v>
      </c>
      <c r="K3" s="14">
        <v>1</v>
      </c>
      <c r="L3" s="14" t="s">
        <v>658</v>
      </c>
      <c r="M3" s="14" t="s">
        <v>663</v>
      </c>
    </row>
  </sheetData>
  <autoFilter ref="A1:M3" xr:uid="{21A3A28E-995B-4C1C-9574-7F0BC2F2B124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DD022-C976-4D6B-A6FF-5814353276DE}">
  <sheetPr codeName="Sheet30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DC09C-6E95-46A2-A018-E2DF5083556E}">
  <sheetPr codeName="Sheet28"/>
  <dimension ref="A1:U93"/>
  <sheetViews>
    <sheetView workbookViewId="0"/>
  </sheetViews>
  <sheetFormatPr defaultRowHeight="14.25" x14ac:dyDescent="0.2"/>
  <cols>
    <col min="1" max="1" width="19.5" customWidth="1"/>
    <col min="11" max="11" width="39.75" customWidth="1"/>
  </cols>
  <sheetData>
    <row r="1" spans="1:21" ht="20.25" thickBot="1" x14ac:dyDescent="0.35">
      <c r="A1" s="9" t="s">
        <v>11</v>
      </c>
    </row>
    <row r="2" spans="1:21" ht="15" thickTop="1" x14ac:dyDescent="0.2">
      <c r="A2" s="10" t="s">
        <v>599</v>
      </c>
    </row>
    <row r="5" spans="1:21" x14ac:dyDescent="0.2">
      <c r="F5" t="s">
        <v>259</v>
      </c>
      <c r="K5" t="s">
        <v>589</v>
      </c>
      <c r="L5" t="s">
        <v>664</v>
      </c>
      <c r="M5" t="s">
        <v>665</v>
      </c>
      <c r="N5" t="s">
        <v>1</v>
      </c>
      <c r="O5" t="s">
        <v>666</v>
      </c>
      <c r="P5" t="s">
        <v>667</v>
      </c>
      <c r="Q5" t="s">
        <v>668</v>
      </c>
      <c r="R5" t="s">
        <v>669</v>
      </c>
      <c r="S5" t="s">
        <v>670</v>
      </c>
      <c r="T5" t="s">
        <v>671</v>
      </c>
      <c r="U5" t="s">
        <v>5</v>
      </c>
    </row>
    <row r="6" spans="1:21" x14ac:dyDescent="0.2">
      <c r="F6" t="s">
        <v>249</v>
      </c>
      <c r="K6" s="19" t="s">
        <v>13</v>
      </c>
    </row>
    <row r="7" spans="1:21" x14ac:dyDescent="0.2">
      <c r="F7" s="11" t="s">
        <v>610</v>
      </c>
    </row>
    <row r="8" spans="1:21" x14ac:dyDescent="0.2">
      <c r="F8" t="s">
        <v>239</v>
      </c>
    </row>
    <row r="9" spans="1:21" x14ac:dyDescent="0.2">
      <c r="F9" t="s">
        <v>631</v>
      </c>
    </row>
    <row r="10" spans="1:21" x14ac:dyDescent="0.2">
      <c r="B10" t="s">
        <v>268</v>
      </c>
      <c r="D10" t="s">
        <v>228</v>
      </c>
      <c r="F10" s="12" t="s">
        <v>217</v>
      </c>
    </row>
    <row r="11" spans="1:21" x14ac:dyDescent="0.2">
      <c r="B11" t="s">
        <v>276</v>
      </c>
      <c r="F11" s="13" t="s">
        <v>611</v>
      </c>
    </row>
    <row r="12" spans="1:21" x14ac:dyDescent="0.2">
      <c r="F12" s="13" t="s">
        <v>612</v>
      </c>
    </row>
    <row r="13" spans="1:21" x14ac:dyDescent="0.2">
      <c r="F13" s="13" t="s">
        <v>613</v>
      </c>
    </row>
    <row r="14" spans="1:21" x14ac:dyDescent="0.2">
      <c r="F14" s="13" t="s">
        <v>617</v>
      </c>
    </row>
    <row r="15" spans="1:21" x14ac:dyDescent="0.2">
      <c r="F15" s="13" t="s">
        <v>616</v>
      </c>
    </row>
    <row r="16" spans="1:21" x14ac:dyDescent="0.2">
      <c r="F16" s="13" t="s">
        <v>614</v>
      </c>
    </row>
    <row r="17" spans="6:6" x14ac:dyDescent="0.2">
      <c r="F17" s="13" t="s">
        <v>615</v>
      </c>
    </row>
    <row r="18" spans="6:6" x14ac:dyDescent="0.2">
      <c r="F18" s="13" t="s">
        <v>619</v>
      </c>
    </row>
    <row r="19" spans="6:6" x14ac:dyDescent="0.2">
      <c r="F19" s="13" t="s">
        <v>620</v>
      </c>
    </row>
    <row r="20" spans="6:6" x14ac:dyDescent="0.2">
      <c r="F20" s="13" t="s">
        <v>618</v>
      </c>
    </row>
    <row r="21" spans="6:6" x14ac:dyDescent="0.2">
      <c r="F21" s="13" t="s">
        <v>621</v>
      </c>
    </row>
    <row r="22" spans="6:6" x14ac:dyDescent="0.2">
      <c r="F22" s="13" t="s">
        <v>622</v>
      </c>
    </row>
    <row r="23" spans="6:6" x14ac:dyDescent="0.2">
      <c r="F23" s="13" t="s">
        <v>623</v>
      </c>
    </row>
    <row r="24" spans="6:6" x14ac:dyDescent="0.2">
      <c r="F24" s="13" t="s">
        <v>624</v>
      </c>
    </row>
    <row r="25" spans="6:6" x14ac:dyDescent="0.2">
      <c r="F25" s="13" t="s">
        <v>625</v>
      </c>
    </row>
    <row r="26" spans="6:6" x14ac:dyDescent="0.2">
      <c r="F26" s="13" t="s">
        <v>626</v>
      </c>
    </row>
    <row r="27" spans="6:6" x14ac:dyDescent="0.2">
      <c r="F27" s="13" t="s">
        <v>627</v>
      </c>
    </row>
    <row r="28" spans="6:6" x14ac:dyDescent="0.2">
      <c r="F28" s="13" t="s">
        <v>628</v>
      </c>
    </row>
    <row r="29" spans="6:6" x14ac:dyDescent="0.2">
      <c r="F29" s="13" t="s">
        <v>629</v>
      </c>
    </row>
    <row r="30" spans="6:6" x14ac:dyDescent="0.2">
      <c r="F30" s="13" t="s">
        <v>630</v>
      </c>
    </row>
    <row r="31" spans="6:6" x14ac:dyDescent="0.2">
      <c r="F31" s="11" t="s">
        <v>28</v>
      </c>
    </row>
    <row r="32" spans="6:6" x14ac:dyDescent="0.2">
      <c r="F32" t="s">
        <v>65</v>
      </c>
    </row>
    <row r="34" spans="6:6" x14ac:dyDescent="0.2">
      <c r="F34" s="11" t="s">
        <v>601</v>
      </c>
    </row>
    <row r="35" spans="6:6" x14ac:dyDescent="0.2">
      <c r="F35" s="11" t="s">
        <v>602</v>
      </c>
    </row>
    <row r="36" spans="6:6" x14ac:dyDescent="0.2">
      <c r="F36" s="11" t="s">
        <v>603</v>
      </c>
    </row>
    <row r="37" spans="6:6" x14ac:dyDescent="0.2">
      <c r="F37" s="11" t="s">
        <v>604</v>
      </c>
    </row>
    <row r="38" spans="6:6" x14ac:dyDescent="0.2">
      <c r="F38" s="11" t="s">
        <v>605</v>
      </c>
    </row>
    <row r="39" spans="6:6" x14ac:dyDescent="0.2">
      <c r="F39" s="11" t="s">
        <v>606</v>
      </c>
    </row>
    <row r="40" spans="6:6" x14ac:dyDescent="0.2">
      <c r="F40" s="11" t="s">
        <v>607</v>
      </c>
    </row>
    <row r="41" spans="6:6" x14ac:dyDescent="0.2">
      <c r="F41" s="11" t="s">
        <v>608</v>
      </c>
    </row>
    <row r="42" spans="6:6" x14ac:dyDescent="0.2">
      <c r="F42" s="11" t="s">
        <v>609</v>
      </c>
    </row>
    <row r="44" spans="6:6" x14ac:dyDescent="0.2">
      <c r="F44" t="s">
        <v>113</v>
      </c>
    </row>
    <row r="45" spans="6:6" x14ac:dyDescent="0.2">
      <c r="F45" t="s">
        <v>121</v>
      </c>
    </row>
    <row r="46" spans="6:6" x14ac:dyDescent="0.2">
      <c r="F46" t="s">
        <v>131</v>
      </c>
    </row>
    <row r="47" spans="6:6" x14ac:dyDescent="0.2">
      <c r="F47" t="s">
        <v>140</v>
      </c>
    </row>
    <row r="48" spans="6:6" x14ac:dyDescent="0.2">
      <c r="F48" t="s">
        <v>150</v>
      </c>
    </row>
    <row r="49" spans="6:6" x14ac:dyDescent="0.2">
      <c r="F49" t="s">
        <v>163</v>
      </c>
    </row>
    <row r="50" spans="6:6" x14ac:dyDescent="0.2">
      <c r="F50" t="s">
        <v>173</v>
      </c>
    </row>
    <row r="51" spans="6:6" x14ac:dyDescent="0.2">
      <c r="F51" t="s">
        <v>183</v>
      </c>
    </row>
    <row r="52" spans="6:6" x14ac:dyDescent="0.2">
      <c r="F52" t="s">
        <v>194</v>
      </c>
    </row>
    <row r="53" spans="6:6" x14ac:dyDescent="0.2">
      <c r="F53" t="s">
        <v>206</v>
      </c>
    </row>
    <row r="55" spans="6:6" x14ac:dyDescent="0.2">
      <c r="F55" t="s">
        <v>85</v>
      </c>
    </row>
    <row r="56" spans="6:6" x14ac:dyDescent="0.2">
      <c r="F56" t="s">
        <v>97</v>
      </c>
    </row>
    <row r="57" spans="6:6" x14ac:dyDescent="0.2">
      <c r="F57" t="s">
        <v>104</v>
      </c>
    </row>
    <row r="59" spans="6:6" x14ac:dyDescent="0.2">
      <c r="F59" t="s">
        <v>13</v>
      </c>
    </row>
    <row r="60" spans="6:6" x14ac:dyDescent="0.2">
      <c r="F60" t="s">
        <v>14</v>
      </c>
    </row>
    <row r="61" spans="6:6" x14ac:dyDescent="0.2">
      <c r="F61" t="s">
        <v>30</v>
      </c>
    </row>
    <row r="62" spans="6:6" x14ac:dyDescent="0.2">
      <c r="F62" s="11" t="s">
        <v>600</v>
      </c>
    </row>
    <row r="63" spans="6:6" x14ac:dyDescent="0.2">
      <c r="F63" t="s">
        <v>15</v>
      </c>
    </row>
    <row r="64" spans="6:6" x14ac:dyDescent="0.2">
      <c r="F64" t="s">
        <v>16</v>
      </c>
    </row>
    <row r="65" spans="6:6" x14ac:dyDescent="0.2">
      <c r="F65" t="s">
        <v>19</v>
      </c>
    </row>
    <row r="66" spans="6:6" x14ac:dyDescent="0.2">
      <c r="F66" t="s">
        <v>17</v>
      </c>
    </row>
    <row r="67" spans="6:6" x14ac:dyDescent="0.2">
      <c r="F67" s="11" t="s">
        <v>18</v>
      </c>
    </row>
    <row r="68" spans="6:6" x14ac:dyDescent="0.2">
      <c r="F68" t="s">
        <v>20</v>
      </c>
    </row>
    <row r="69" spans="6:6" x14ac:dyDescent="0.2">
      <c r="F69" t="s">
        <v>21</v>
      </c>
    </row>
    <row r="70" spans="6:6" x14ac:dyDescent="0.2">
      <c r="F70" t="s">
        <v>24</v>
      </c>
    </row>
    <row r="71" spans="6:6" x14ac:dyDescent="0.2">
      <c r="F71" t="s">
        <v>26</v>
      </c>
    </row>
    <row r="72" spans="6:6" x14ac:dyDescent="0.2">
      <c r="F72" t="s">
        <v>23</v>
      </c>
    </row>
    <row r="73" spans="6:6" x14ac:dyDescent="0.2">
      <c r="F73" t="s">
        <v>22</v>
      </c>
    </row>
    <row r="74" spans="6:6" x14ac:dyDescent="0.2">
      <c r="F74" t="s">
        <v>439</v>
      </c>
    </row>
    <row r="75" spans="6:6" x14ac:dyDescent="0.2">
      <c r="F75" t="s">
        <v>25</v>
      </c>
    </row>
    <row r="77" spans="6:6" x14ac:dyDescent="0.2">
      <c r="F77" t="s">
        <v>496</v>
      </c>
    </row>
    <row r="78" spans="6:6" x14ac:dyDescent="0.2">
      <c r="F78" t="s">
        <v>510</v>
      </c>
    </row>
    <row r="79" spans="6:6" x14ac:dyDescent="0.2">
      <c r="F79" t="s">
        <v>526</v>
      </c>
    </row>
    <row r="81" spans="2:6" x14ac:dyDescent="0.2">
      <c r="F81" t="s">
        <v>546</v>
      </c>
    </row>
    <row r="82" spans="2:6" x14ac:dyDescent="0.2">
      <c r="F82" t="s">
        <v>632</v>
      </c>
    </row>
    <row r="83" spans="2:6" x14ac:dyDescent="0.2">
      <c r="F83" t="s">
        <v>633</v>
      </c>
    </row>
    <row r="84" spans="2:6" x14ac:dyDescent="0.2">
      <c r="F84" t="s">
        <v>634</v>
      </c>
    </row>
    <row r="86" spans="2:6" x14ac:dyDescent="0.2">
      <c r="F86" t="s">
        <v>635</v>
      </c>
    </row>
    <row r="87" spans="2:6" x14ac:dyDescent="0.2">
      <c r="B87" t="s">
        <v>541</v>
      </c>
      <c r="F87" t="s">
        <v>636</v>
      </c>
    </row>
    <row r="88" spans="2:6" x14ac:dyDescent="0.2">
      <c r="F88" t="s">
        <v>637</v>
      </c>
    </row>
    <row r="89" spans="2:6" x14ac:dyDescent="0.2">
      <c r="F89" t="s">
        <v>638</v>
      </c>
    </row>
    <row r="90" spans="2:6" x14ac:dyDescent="0.2">
      <c r="F90" t="s">
        <v>639</v>
      </c>
    </row>
    <row r="91" spans="2:6" x14ac:dyDescent="0.2">
      <c r="F91" t="s">
        <v>640</v>
      </c>
    </row>
    <row r="92" spans="2:6" x14ac:dyDescent="0.2">
      <c r="F92" t="s">
        <v>641</v>
      </c>
    </row>
    <row r="93" spans="2:6" x14ac:dyDescent="0.2">
      <c r="F93" t="s">
        <v>642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83666-386D-4E6D-80C9-D1B3C9272FDD}">
  <sheetPr codeName="Sheet26"/>
  <dimension ref="A1:AI111"/>
  <sheetViews>
    <sheetView topLeftCell="AA1" zoomScale="70" zoomScaleNormal="70" workbookViewId="0">
      <selection activeCell="AI9" sqref="AI9"/>
    </sheetView>
  </sheetViews>
  <sheetFormatPr defaultRowHeight="14.25" x14ac:dyDescent="0.2"/>
  <cols>
    <col min="1" max="1" width="63" customWidth="1"/>
    <col min="2" max="2" width="37.625" customWidth="1"/>
    <col min="3" max="3" width="52.25" customWidth="1"/>
    <col min="4" max="4" width="21.75" customWidth="1"/>
    <col min="5" max="5" width="15.875" customWidth="1"/>
    <col min="6" max="6" width="78" customWidth="1"/>
    <col min="7" max="7" width="35.875" customWidth="1"/>
    <col min="8" max="8" width="15.625" customWidth="1"/>
    <col min="9" max="9" width="37.625" customWidth="1"/>
    <col min="10" max="10" width="45.5" customWidth="1"/>
    <col min="11" max="12" width="78" customWidth="1"/>
    <col min="13" max="13" width="16.875" customWidth="1"/>
    <col min="14" max="14" width="20.5" customWidth="1"/>
    <col min="15" max="15" width="22.625" customWidth="1"/>
    <col min="16" max="16" width="20.625" customWidth="1"/>
    <col min="17" max="17" width="17.5" customWidth="1"/>
    <col min="18" max="19" width="41.25" customWidth="1"/>
    <col min="20" max="20" width="78" customWidth="1"/>
    <col min="21" max="21" width="33.75" customWidth="1"/>
    <col min="22" max="23" width="27.5" customWidth="1"/>
    <col min="24" max="24" width="38.25" customWidth="1"/>
    <col min="25" max="25" width="28.75" customWidth="1"/>
    <col min="26" max="26" width="63" customWidth="1"/>
    <col min="27" max="27" width="78" customWidth="1"/>
    <col min="28" max="28" width="33.875" customWidth="1"/>
    <col min="30" max="32" width="35.875" customWidth="1"/>
  </cols>
  <sheetData>
    <row r="1" spans="1:35" ht="20.25" thickBot="1" x14ac:dyDescent="0.35">
      <c r="A1" s="2" t="s">
        <v>582</v>
      </c>
    </row>
    <row r="2" spans="1:35" ht="15" thickTop="1" x14ac:dyDescent="0.2">
      <c r="A2" s="3" t="s">
        <v>583</v>
      </c>
    </row>
    <row r="3" spans="1:35" x14ac:dyDescent="0.2">
      <c r="A3" s="3"/>
    </row>
    <row r="4" spans="1:35" ht="15" x14ac:dyDescent="0.25">
      <c r="A4" s="5" t="s">
        <v>584</v>
      </c>
      <c r="B4" s="4">
        <f ca="1">TODAY()</f>
        <v>44950</v>
      </c>
    </row>
    <row r="5" spans="1:35" x14ac:dyDescent="0.2">
      <c r="A5" s="3"/>
      <c r="B5" s="4"/>
    </row>
    <row r="7" spans="1:35" ht="15" x14ac:dyDescent="0.25">
      <c r="AE7" s="6"/>
    </row>
    <row r="8" spans="1:35" ht="15.75" x14ac:dyDescent="0.25">
      <c r="A8" s="22" t="s">
        <v>31</v>
      </c>
      <c r="B8" s="22" t="s">
        <v>32</v>
      </c>
      <c r="C8" s="22" t="s">
        <v>33</v>
      </c>
      <c r="D8" s="22" t="s">
        <v>34</v>
      </c>
      <c r="E8" s="22" t="s">
        <v>35</v>
      </c>
      <c r="F8" s="22" t="s">
        <v>36</v>
      </c>
      <c r="G8" s="22" t="s">
        <v>37</v>
      </c>
      <c r="H8" s="22" t="s">
        <v>38</v>
      </c>
      <c r="I8" s="22" t="s">
        <v>39</v>
      </c>
      <c r="J8" s="22" t="s">
        <v>40</v>
      </c>
      <c r="K8" s="22" t="s">
        <v>41</v>
      </c>
      <c r="L8" s="22" t="s">
        <v>42</v>
      </c>
      <c r="M8" s="22" t="s">
        <v>43</v>
      </c>
      <c r="N8" s="22" t="s">
        <v>44</v>
      </c>
      <c r="O8" s="22" t="s">
        <v>45</v>
      </c>
      <c r="P8" s="22" t="s">
        <v>46</v>
      </c>
      <c r="Q8" s="22" t="s">
        <v>47</v>
      </c>
      <c r="R8" s="22" t="s">
        <v>48</v>
      </c>
      <c r="S8" s="22" t="s">
        <v>49</v>
      </c>
      <c r="T8" s="22" t="s">
        <v>50</v>
      </c>
      <c r="U8" s="22" t="s">
        <v>51</v>
      </c>
      <c r="V8" s="22" t="s">
        <v>52</v>
      </c>
      <c r="W8" s="22" t="s">
        <v>53</v>
      </c>
      <c r="X8" s="22" t="s">
        <v>54</v>
      </c>
      <c r="Y8" s="22" t="s">
        <v>55</v>
      </c>
      <c r="Z8" s="22" t="s">
        <v>56</v>
      </c>
      <c r="AA8" s="22" t="s">
        <v>57</v>
      </c>
      <c r="AB8" s="22" t="s">
        <v>58</v>
      </c>
      <c r="AD8" s="6" t="s">
        <v>590</v>
      </c>
      <c r="AF8" s="6" t="s">
        <v>589</v>
      </c>
      <c r="AG8" s="6" t="s">
        <v>588</v>
      </c>
    </row>
    <row r="9" spans="1:35" x14ac:dyDescent="0.2">
      <c r="A9" s="21" t="s">
        <v>59</v>
      </c>
      <c r="B9" s="21" t="s">
        <v>60</v>
      </c>
      <c r="C9" s="21" t="s">
        <v>61</v>
      </c>
      <c r="D9" s="21" t="s">
        <v>62</v>
      </c>
      <c r="E9" s="21" t="s">
        <v>63</v>
      </c>
      <c r="F9" s="21" t="s">
        <v>64</v>
      </c>
      <c r="G9" s="21" t="s">
        <v>65</v>
      </c>
      <c r="H9" s="21" t="s">
        <v>66</v>
      </c>
      <c r="I9" s="21" t="s">
        <v>60</v>
      </c>
      <c r="J9" s="21" t="s">
        <v>67</v>
      </c>
      <c r="K9" s="21" t="s">
        <v>68</v>
      </c>
      <c r="L9" s="21" t="s">
        <v>69</v>
      </c>
      <c r="M9" s="20">
        <v>500</v>
      </c>
      <c r="N9" s="20">
        <v>500</v>
      </c>
      <c r="O9" s="21" t="s">
        <v>66</v>
      </c>
      <c r="P9" s="21" t="s">
        <v>67</v>
      </c>
      <c r="Q9" s="21" t="s">
        <v>62</v>
      </c>
      <c r="R9" s="21" t="s">
        <v>70</v>
      </c>
      <c r="S9" s="21" t="s">
        <v>70</v>
      </c>
      <c r="T9" s="21" t="s">
        <v>63</v>
      </c>
      <c r="U9" s="21" t="s">
        <v>62</v>
      </c>
      <c r="V9" s="21" t="s">
        <v>63</v>
      </c>
      <c r="W9" s="21" t="s">
        <v>71</v>
      </c>
      <c r="X9" s="21" t="s">
        <v>72</v>
      </c>
      <c r="Y9" s="21" t="s">
        <v>62</v>
      </c>
      <c r="Z9" s="21" t="s">
        <v>73</v>
      </c>
      <c r="AA9" s="21" t="s">
        <v>74</v>
      </c>
      <c r="AB9" s="21" t="s">
        <v>75</v>
      </c>
      <c r="AD9" t="str" cm="1">
        <f t="array" ref="AD9:AD51">_xlfn.UNIQUE(tbl_DynDB_JOB_METADATA[file])</f>
        <v>Base_BS_Topsides_SchRunOff</v>
      </c>
      <c r="AF9" t="str">
        <f t="shared" ref="AF9:AF71" si="0">G9</f>
        <v>Base_BS_Topsides_SchRunOff</v>
      </c>
      <c r="AG9" t="str">
        <f t="shared" ref="AG9:AG71" si="1">RIGHT(A9,4)</f>
        <v>EBER</v>
      </c>
      <c r="AI9" t="str">
        <f>_xlfn.VALUETOTEXT(SUBSTITUTE(SUBSTITUTE(tbl_DynDB_JOB_METADATA[[#This Row],[TransformationQuery]], "\n", CHAR(10)), CHAR(34), ""))</f>
        <v xml:space="preserve">SELECT DISTINCT 
    CAST(
        src.val_date AS DATE
    ) AS val_date, 
    src.val_qtr, 
    CAST(
        src.topside_id AS INTEGER
    ) AS topside_id, 
    src.valuation_block,
    src.balance, 
    src.input_source,
    src.input_source_description,
    src.input_source_metadata,
    CAST(
        src.runoff_start_date AS DATE
    ) AS runoff_start_date,
    CAST(
        src.runoff_quarters AS INTEGER
    ) AS runoff_quarters, 
    CAST(
        src.runoff_finish_date AS DATE
    ) AS runoff_finish_date, 
    src.quarter_type,
    CAST(
        src.runoff_pattern AS INTEGER
    ) AS runoff_pattern,
    CAST(
        src.rlus_gaap_balance AS DECIMAL(38,2)
    ) AS rlus_gaap_balance,
    CAST(
        src.tpa_gaap_balance AS DECIMAL(38, 2)
    ) AS tpa_gaap_balance, 
    CAST(
        src.stat_balance AS DECIMAL(38, 2)
    ) AS stat_balance, 
    CAST(
        src.tax_balance AS DECIMAL(38, 2)
    ) AS tax_balance, 
    CAST(
        src.ny_basis_stat_balance AS DECIMAL(38, 2)
    ) AS ny_basis_stat_balance, 
    CAST(
        src.economic_balance AS DECIMAL(38, 2)
    ) AS economic_balance, 
    CAST(
        src.bma_balance AS DECIMAL(38, 2)
    ) AS bma_balance, 
    CAST(
        src.ics_balance AS DECIMAL(38, 2)
    ) AS ics_balance, 
    CAST(
        src.ifrs_balance AS DECIMAL(38, 2)
    ) AS ifrs_balance 
FROM 
  SOURCE src
</v>
      </c>
    </row>
    <row r="10" spans="1:35" x14ac:dyDescent="0.2">
      <c r="A10" s="21" t="s">
        <v>76</v>
      </c>
      <c r="B10" s="21" t="s">
        <v>60</v>
      </c>
      <c r="C10" s="21" t="s">
        <v>68</v>
      </c>
      <c r="D10" s="21" t="s">
        <v>62</v>
      </c>
      <c r="E10" s="21" t="s">
        <v>77</v>
      </c>
      <c r="F10" s="21" t="s">
        <v>78</v>
      </c>
      <c r="G10" s="21" t="s">
        <v>65</v>
      </c>
      <c r="H10" s="21" t="s">
        <v>79</v>
      </c>
      <c r="I10" s="21" t="s">
        <v>63</v>
      </c>
      <c r="J10" s="21" t="s">
        <v>63</v>
      </c>
      <c r="K10" s="21" t="s">
        <v>63</v>
      </c>
      <c r="L10" s="21" t="s">
        <v>80</v>
      </c>
      <c r="M10" s="20">
        <v>500</v>
      </c>
      <c r="N10" s="20">
        <v>500</v>
      </c>
      <c r="O10" s="21" t="s">
        <v>66</v>
      </c>
      <c r="P10" s="21" t="s">
        <v>67</v>
      </c>
      <c r="Q10" s="21" t="s">
        <v>62</v>
      </c>
      <c r="R10" s="21" t="s">
        <v>70</v>
      </c>
      <c r="S10" s="21" t="s">
        <v>70</v>
      </c>
      <c r="T10" s="21" t="s">
        <v>63</v>
      </c>
      <c r="U10" s="21" t="s">
        <v>62</v>
      </c>
      <c r="V10" s="21" t="s">
        <v>63</v>
      </c>
      <c r="W10" s="21" t="s">
        <v>71</v>
      </c>
      <c r="X10" s="21" t="s">
        <v>72</v>
      </c>
      <c r="Y10" s="21" t="s">
        <v>63</v>
      </c>
      <c r="Z10" s="21" t="s">
        <v>59</v>
      </c>
      <c r="AA10" s="21" t="s">
        <v>81</v>
      </c>
      <c r="AB10" s="21" t="s">
        <v>75</v>
      </c>
      <c r="AD10" t="str">
        <v>Current_BS_Topsides_Merged</v>
      </c>
      <c r="AF10" t="str">
        <f t="shared" si="0"/>
        <v>Base_BS_Topsides_SchRunOff</v>
      </c>
      <c r="AG10" t="str">
        <f t="shared" si="1"/>
        <v>ELEB</v>
      </c>
      <c r="AI10" s="4" t="str">
        <f>_xlfn.VALUETOTEXT(SUBSTITUTE(SUBSTITUTE(tbl_DynDB_JOB_METADATA[[#This Row],[TransformationQuery]], "\n", CHAR(10)), CHAR(34), ""))</f>
        <v>Select src.* FROM SOURCE src</v>
      </c>
    </row>
    <row r="11" spans="1:35" x14ac:dyDescent="0.2">
      <c r="A11" s="21" t="s">
        <v>82</v>
      </c>
      <c r="B11" s="21" t="s">
        <v>60</v>
      </c>
      <c r="C11" s="21" t="s">
        <v>83</v>
      </c>
      <c r="D11" s="21" t="s">
        <v>62</v>
      </c>
      <c r="E11" s="21" t="s">
        <v>63</v>
      </c>
      <c r="F11" s="21" t="s">
        <v>84</v>
      </c>
      <c r="G11" s="21" t="s">
        <v>85</v>
      </c>
      <c r="H11" s="21" t="s">
        <v>86</v>
      </c>
      <c r="I11" s="21" t="s">
        <v>60</v>
      </c>
      <c r="J11" s="21" t="s">
        <v>87</v>
      </c>
      <c r="K11" s="21" t="s">
        <v>88</v>
      </c>
      <c r="L11" s="21" t="s">
        <v>89</v>
      </c>
      <c r="M11" s="20">
        <v>500</v>
      </c>
      <c r="N11" s="20">
        <v>500</v>
      </c>
      <c r="O11" s="21" t="s">
        <v>86</v>
      </c>
      <c r="P11" s="21" t="s">
        <v>67</v>
      </c>
      <c r="Q11" s="21" t="s">
        <v>62</v>
      </c>
      <c r="R11" s="21" t="s">
        <v>70</v>
      </c>
      <c r="S11" s="21" t="s">
        <v>70</v>
      </c>
      <c r="T11" s="21" t="s">
        <v>63</v>
      </c>
      <c r="U11" s="21" t="s">
        <v>62</v>
      </c>
      <c r="V11" s="21" t="s">
        <v>63</v>
      </c>
      <c r="W11" s="21" t="s">
        <v>71</v>
      </c>
      <c r="X11" s="21" t="s">
        <v>90</v>
      </c>
      <c r="Y11" s="21" t="s">
        <v>62</v>
      </c>
      <c r="Z11" s="21" t="s">
        <v>91</v>
      </c>
      <c r="AA11" s="21" t="s">
        <v>92</v>
      </c>
      <c r="AB11" s="21" t="s">
        <v>75</v>
      </c>
      <c r="AD11" t="str">
        <v>Current_BS_Topsides_QtrLag_AvE/</v>
      </c>
      <c r="AF11" t="str">
        <f t="shared" si="0"/>
        <v>Current_BS_Topsides_Merged</v>
      </c>
      <c r="AG11" t="str">
        <f t="shared" si="1"/>
        <v>EREJ</v>
      </c>
      <c r="AI11" s="4" t="str">
        <f>_xlfn.VALUETOTEXT(SUBSTITUTE(SUBSTITUTE(tbl_DynDB_JOB_METADATA[[#This Row],[TransformationQuery]], "\n", CHAR(10)), CHAR(34), ""))</f>
        <v xml:space="preserve">WITH qtrlag AS ( SELECT qtr.val_date, qtr.valuation_block, qtr.balance, qtr.input_source, qtr.input_source_description, qtr.input_source_metadata, 'Quarter Lag' AS topsides_approach, qtr.policy_count, qtr.base_policy_db, qtr.rider_db, qtr.adb_db, qtr.source_policy_count, qtr.source_base_policy_db, qtr.source_rider_db, qtr.source_adb_db, qtr.ga_av, qtr.sa_av, qtr.ga_cv, qtr.sa_cv, qtr.shadow_av, qtr.indexed_av, qtr.fixed_av, qtr.excess_min_prem_1, qtr.excess_min_prem_2, qtr.excess_min_prem_3, qtr.loan_value, qtr.loan_unearned_int, qtr.rlus_gaap_balance, qtr.tpa_gaap_balance, qtr.stat_balance, qtr.tax_balance, qtr.ny_basis_stat_balance, qtr.economic_balance, qtr.bma_balance, qtr.ics_balance, qtr.ifrs_balance FROM QTRLAGTBL qtr ), schrunoff AS ( SELECT sch.val_date, sch.valuation_block, sch.balance, sch.input_source, sch.input_source_description, sch.input_source_metadata, 'Scheduled RunOff' AS topsides_approach, sch.policy_count, sch.base_policy_db, sch.rider_db, sch.adb_db, sch.source_policy_count, sch.source_base_policy_db, sch.source_rider_db, sch.source_adb_db, sch.ga_av, sch.sa_av, sch.ga_cv, sch.sa_cv, sch.shadow_av, sch.indexed_av, sch.fixed_av, sch.excess_min_prem_1, sch.excess_min_prem_2, sch.excess_min_prem_3, sch.loan_value, sch.loan_unearned_int, sch.rlus_gaap_balance, sch.tpa_gaap_balance, sch.stat_balance, sch.tax_balance, sch.ny_basis_stat_balance, sch.economic_balance, sch.bma_balance, sch.ics_balance, sch.ifrs_balance FROM SCHRUNOFFTBL sch ), other AS ( SELECT othr.val_date, othr.valuation_block, othr.balance, othr.input_source, othr.input_source_description, othr.input_source_metadata, 'Other' AS topsides_approach, othr.policy_count, othr.base_policy_db, othr.rider_db, othr.adb_db, othr.source_policy_count, othr.source_base_policy_db, othr.source_rider_db, othr.source_adb_db, othr.ga_av, othr.sa_av, othr.ga_cv, othr.sa_cv, othr.shadow_av, othr.indexed_av, othr.fixed_av, othr.excess_min_prem_1, othr.excess_min_prem_2, othr.excess_min_prem_3, othr.loan_value, othr.loan_unearned_int, othr.rlus_gaap_balance, othr.tpa_gaap_balance, othr.stat_balance, othr.tax_balance, othr.ny_basis_stat_balance, othr.economic_balance, othr.bma_balance, othr.ics_balance, othr.ifrs_balance FROM OTHERTBL othr ), merged AS ( SELECT * FROM qtrlag UNION ALL SELECT * FROM other UNION ALL SELECT * FROM schrunoff ) SELECT DISTINCT merged.val_date, merged.valuation_block, merged.balance, merged.input_source, merged.input_source_description, merged.input_source_metadata, merged.topsides_approach, SUM(merged.policy_count) AS policy_count, SUM(merged.base_policy_db) AS base_policy_db, SUM(merged.rider_db) AS rider_db, SUM(merged.adb_db) AS adb_db, SUM(merged.source_policy_count) AS source_policy_count, SUM(merged.source_base_policy_db) AS source_base_policy_db, SUM(merged.source_rider_db) AS source_rider_db, SUM(merged.source_adb_db) AS source_adb_db, SUM(merged.ga_av) AS ga_av, SUM(merged.sa_av) AS sa_av, SUM(merged.ga_cv) AS ga_cv, SUM(merged.sa_cv) AS sa_cv, SUM(merged.shadow_av) AS shadow_av, SUM(merged.indexed_av) AS indexed_av, SUM(merged.fixed_av) AS fixed_av, SUM(merged.excess_min_prem_1) AS excess_min_prem_1, SUM(merged.excess_min_prem_2) AS excess_min_prem_2, SUM(merged.excess_min_prem_3) AS excess_min_prem_3, SUM(merged.loan_value) AS loan_value, SUM(merged.loan_unearned_int) AS loan_unearned_int, SUM(merged.rlus_gaap_balance) AS rlus_gaap_balance, SUM(merged.tpa_gaap_balance) AS tpa_gaap_balance, SUM(merged.stat_balance) AS stat_balance, SUM(merged.tax_balance) AS tax_balance, SUM(merged.ny_basis_stat_balance) AS ny_basis_stat_balance, SUM(merged.economic_balance) AS economic_balance, SUM(merged.bma_balance) AS bma_balance, SUM(merged.ics_balance) AS ics_balance, SUM(merged.ifrs_balance) AS ifrs_balance FROM merged GROUP BY merged.val_date, merged.valuation_block, merged.balance, merged.input_source, merged.input_source_description, merged.input_source_metadata, merged.topsides_approach ORDER BY merged.val_date, merged.topsides_approach, merged.valuation_block, merged.balance
</v>
      </c>
    </row>
    <row r="12" spans="1:35" x14ac:dyDescent="0.2">
      <c r="A12" s="21" t="s">
        <v>93</v>
      </c>
      <c r="B12" s="21" t="s">
        <v>94</v>
      </c>
      <c r="C12" s="21" t="s">
        <v>95</v>
      </c>
      <c r="D12" s="21" t="s">
        <v>62</v>
      </c>
      <c r="E12" s="21" t="s">
        <v>63</v>
      </c>
      <c r="F12" s="21" t="s">
        <v>96</v>
      </c>
      <c r="G12" s="21" t="s">
        <v>97</v>
      </c>
      <c r="H12" s="21" t="s">
        <v>66</v>
      </c>
      <c r="I12" s="21" t="s">
        <v>60</v>
      </c>
      <c r="J12" s="21" t="s">
        <v>67</v>
      </c>
      <c r="K12" s="21" t="s">
        <v>98</v>
      </c>
      <c r="L12" s="21" t="s">
        <v>99</v>
      </c>
      <c r="M12" s="20">
        <v>500</v>
      </c>
      <c r="N12" s="20">
        <v>500</v>
      </c>
      <c r="O12" s="21" t="s">
        <v>86</v>
      </c>
      <c r="P12" s="21" t="s">
        <v>67</v>
      </c>
      <c r="Q12" s="21" t="s">
        <v>62</v>
      </c>
      <c r="R12" s="21" t="s">
        <v>70</v>
      </c>
      <c r="S12" s="21" t="s">
        <v>100</v>
      </c>
      <c r="T12" s="21" t="s">
        <v>63</v>
      </c>
      <c r="U12" s="21" t="s">
        <v>62</v>
      </c>
      <c r="V12" s="21" t="s">
        <v>63</v>
      </c>
      <c r="W12" s="21" t="s">
        <v>71</v>
      </c>
      <c r="X12" s="21" t="s">
        <v>72</v>
      </c>
      <c r="Y12" s="21" t="s">
        <v>63</v>
      </c>
      <c r="Z12" s="21" t="s">
        <v>63</v>
      </c>
      <c r="AA12" s="21" t="s">
        <v>101</v>
      </c>
      <c r="AB12" s="21" t="s">
        <v>75</v>
      </c>
      <c r="AD12" t="str">
        <v>Current_BS_Topsides_QtrLag_AvE</v>
      </c>
      <c r="AF12" t="str">
        <f t="shared" si="0"/>
        <v>Current_BS_Topsides_QtrLag_AvE/</v>
      </c>
      <c r="AG12" t="str">
        <f t="shared" si="1"/>
        <v>EJCC</v>
      </c>
      <c r="AI12" s="4" t="str">
        <f>_xlfn.VALUETOTEXT(SUBSTITUTE(SUBSTITUTE(tbl_DynDB_JOB_METADATA[[#This Row],[TransformationQuery]], "\n", CHAR(10)), CHAR(34), ""))</f>
        <v>SELECT src.* FROM SOURCE src</v>
      </c>
    </row>
    <row r="13" spans="1:35" x14ac:dyDescent="0.2">
      <c r="A13" s="21" t="s">
        <v>102</v>
      </c>
      <c r="B13" s="21" t="s">
        <v>60</v>
      </c>
      <c r="C13" s="21" t="s">
        <v>98</v>
      </c>
      <c r="D13" s="21" t="s">
        <v>62</v>
      </c>
      <c r="E13" s="21" t="s">
        <v>63</v>
      </c>
      <c r="F13" s="21" t="s">
        <v>103</v>
      </c>
      <c r="G13" s="21" t="s">
        <v>104</v>
      </c>
      <c r="H13" s="21" t="s">
        <v>86</v>
      </c>
      <c r="I13" s="21" t="s">
        <v>60</v>
      </c>
      <c r="J13" s="21" t="s">
        <v>105</v>
      </c>
      <c r="K13" s="21" t="s">
        <v>106</v>
      </c>
      <c r="L13" s="21" t="s">
        <v>107</v>
      </c>
      <c r="M13" s="20">
        <v>500</v>
      </c>
      <c r="N13" s="20">
        <v>500</v>
      </c>
      <c r="O13" s="21" t="s">
        <v>66</v>
      </c>
      <c r="P13" s="21" t="s">
        <v>67</v>
      </c>
      <c r="Q13" s="21" t="s">
        <v>62</v>
      </c>
      <c r="R13" s="21" t="s">
        <v>70</v>
      </c>
      <c r="S13" s="21" t="s">
        <v>70</v>
      </c>
      <c r="T13" s="21" t="s">
        <v>63</v>
      </c>
      <c r="U13" s="21" t="s">
        <v>62</v>
      </c>
      <c r="V13" s="21" t="s">
        <v>63</v>
      </c>
      <c r="W13" s="21" t="s">
        <v>71</v>
      </c>
      <c r="X13" s="21" t="s">
        <v>108</v>
      </c>
      <c r="Y13" s="21" t="s">
        <v>63</v>
      </c>
      <c r="Z13" s="21" t="s">
        <v>93</v>
      </c>
      <c r="AA13" s="21" t="s">
        <v>109</v>
      </c>
      <c r="AB13" s="21" t="s">
        <v>75</v>
      </c>
      <c r="AD13" t="str">
        <v>Historical_BS_Topsides_Merged</v>
      </c>
      <c r="AF13" t="str">
        <f t="shared" si="0"/>
        <v>Current_BS_Topsides_QtrLag_AvE</v>
      </c>
      <c r="AG13" t="str">
        <f t="shared" si="1"/>
        <v>EREJ</v>
      </c>
      <c r="AI13" s="4" t="str">
        <f>_xlfn.VALUETOTEXT(SUBSTITUTE(SUBSTITUTE(tbl_DynDB_JOB_METADATA[[#This Row],[TransformationQuery]], "\n", CHAR(10)), CHAR(34), ""))</f>
        <v xml:space="preserve">SELECT
  qtr.val_date, 
  qtr.valuation_block, 
  qtr.balance, 
  qtr.input_source_description AS tpa, 
  qtr.input_source_metadata,
  qtra.input_source_metadata AS input_source_metadata_actuals,  
  qtr.policy_count, 
  qtra.policy_count AS policy_count_actual, 
  qtra.policy_count - qtr.policy_count AS policy_count_diff, 
  qtr.base_policy_db, 
  qtra.base_policy_db AS base_policy_db_actual, 
  qtra.base_policy_db - qtr.base_policy_db AS base_policy_db_diff, 
  qtr.rider_db, 
  qtra.rider_db AS rider_db_actual, 
  qtra.rider_db - qtr.rider_db AS rider_db_diff, 
  qtr.adb_db, 
  qtra.adb_db AS adb_db_actual, 
  qtra.adb_db - qtr.adb_db AS adb_db_diff, 
  qtr.source_policy_count, 
  qtra.source_policy_count AS source_policy_count_actual, 
  qtra.source_policy_count - qtr.source_policy_count AS source_policy_count_diff, 
  qtr.source_base_policy_db, 
  qtra.source_base_policy_db AS source_base_policy_db_actual, 
  qtra.source_base_policy_db - qtr.source_base_policy_db AS source_base_policy_db_diff, 
  qtr.source_rider_db, 
  qtra.source_rider_db AS source_rider_db_actual, 
  qtra.source_rider_db - qtr.source_rider_db AS source_rider_db_diff, 
  qtr.source_adb_db, 
  qtra.source_adb_db AS source_adb_db_actual, 
  qtra.source_adb_db - qtr.source_adb_db AS source_adb_db_diff, 
  qtr.ga_av, 
  qtra.ga_av AS ga_av_actual, 
  qtra.ga_av - qtr.ga_av AS ga_av_diff, 
  qtr.sa_av, 
  qtra.sa_av AS sa_av_actual, 
  qtra.sa_av - qtr.sa_av AS sa_av_diff, 
  qtr.ga_cv, 
  qtra.ga_cv AS ga_cv_actual, 
  qtra.ga_cv - qtr.ga_cv AS ga_cv_diff, 
  qtr.sa_cv, 
  qtra.sa_cv AS sa_cv_actual, 
  qtra.sa_cv - qtr.sa_cv AS sa_cv_diff, 
  qtr.shadow_av,
  qtra.shadow_av AS shadow_av_actual, 
  qtra.shadow_av - qtr.shadow_av AS shadow_av_diff, 
  qtr.indexed_av,
  qtra.indexed_av AS indexed_av_actual, 
  qtra.indexed_av - qtr.indexed_av AS indexed_av_diff,
  qtr.fixed_av, 
  qtra.fixed_av AS fixed_av_actual, 
  qtra.fixed_av - qtr.fixed_av AS fixed_av_diff, 
  qtr.excess_min_prem_1, 
  qtra.excess_min_prem_1 AS excess_min_prem_1_actual, 
  qtra.excess_min_prem_1 - qtr.excess_min_prem_1 AS excess_min_prem_1_diff, 
  qtr.excess_min_prem_2, 
  qtra.excess_min_prem_2 AS excess_min_prem_2_actual, 
  qtra.excess_min_prem_2 - qtr.excess_min_prem_2 AS excess_min_prem_2_diff, 
  qtr.excess_min_prem_3, 
  qtra.excess_min_prem_3 AS excess_min_prem_3_actual, 
  qtra.excess_min_prem_3 - qtr.excess_min_prem_3 AS excess_min_prem_3_diff, 
  qtr.loan_value, 
  qtra.loan_value AS loan_value_actual, 
  qtra.loan_value - qtr.loan_value AS loan_value_diff, 
  qtr.loan_unearned_int, 
  qtra.loan_unearned_int AS loan_unearned_int_actual, 
  qtra.loan_unearned_int - qtr.loan_unearned_int AS loan_unearned_int_diff, 
  qtr.rlus_gaap_balance, 
  qtra.rlus_gaap_balance AS rlus_gaap_balance_actual, 
  qtra.rlus_gaap_balance - qtr.rlus_gaap_balance AS gaap_balance_diff, 
  qtr.tpa_gaap_balance, 
  qtra.tpa_gaap_balance AS tpa_gaap_balance_actual, 
  qtra.tpa_gaap_balance - qtr.tpa_gaap_balance AS tpa_gaap_balance_diff, 
  qtr.stat_balance, 
  qtra.stat_balance AS stat_balance_actual, 
  qtra.stat_balance - qtr.stat_balance AS stat_balance_diff, 
  qtr.tax_balance, 
  qtra.tax_balance AS tax_balance_actual, 
  qtra.tax_balance - qtr.tax_balance AS tax_balance_diff, 
  qtr.ny_basis_stat_balance, 
  qtra.ny_basis_stat_balance AS ny_basis_stat_balance_actual, 
  qtra.ny_basis_stat_balance - qtr.ny_basis_stat_balance AS ny_basis_stat_balance_diff, 
  qtr.economic_balance, 
  qtra.economic_balance AS economic_balance_actual, 
  qtra.economic_balance - qtr.economic_balance AS economic_balance_diff, 
  qtr.bma_balance, 
  qtra.bma_balance AS bma_balance_actual, 
  qtra.bma_balance - qtr.bma_balance AS bma_balance_diff,
  qtr.ics_balance,
  qtra.ics_balance AS ics_balance_actual,
  qtra.ics_balance - qtr.ics_balance AS ics_balance_diff,
  qtr.ifrs_balance,
  qtra.ifrs_balance AS ifrs_balance_actual,
  qtra.ifrs_balance - qtr.ifrs_balance AS ifrs_balance_diff   
FROM 
  QTRLAG qtr, 
  QTRLAGACTUALS qtra 
WHERE 
  qtr.val_date = qtra.val_date 
  AND qtr.valuation_block = qtra.valuation_block 
  AND qtr.balance = qtra.balance
</v>
      </c>
    </row>
    <row r="14" spans="1:35" x14ac:dyDescent="0.2">
      <c r="A14" s="21" t="s">
        <v>110</v>
      </c>
      <c r="B14" s="21" t="s">
        <v>60</v>
      </c>
      <c r="C14" s="21" t="s">
        <v>111</v>
      </c>
      <c r="D14" s="21" t="s">
        <v>62</v>
      </c>
      <c r="E14" s="21" t="s">
        <v>63</v>
      </c>
      <c r="F14" s="21" t="s">
        <v>112</v>
      </c>
      <c r="G14" s="21" t="s">
        <v>113</v>
      </c>
      <c r="H14" s="21" t="s">
        <v>86</v>
      </c>
      <c r="I14" s="21" t="s">
        <v>60</v>
      </c>
      <c r="J14" s="21" t="s">
        <v>67</v>
      </c>
      <c r="K14" s="21" t="s">
        <v>114</v>
      </c>
      <c r="L14" s="21" t="s">
        <v>115</v>
      </c>
      <c r="M14" s="20">
        <v>500</v>
      </c>
      <c r="N14" s="20">
        <v>500</v>
      </c>
      <c r="O14" s="21" t="s">
        <v>66</v>
      </c>
      <c r="P14" s="21" t="s">
        <v>67</v>
      </c>
      <c r="Q14" s="21" t="s">
        <v>62</v>
      </c>
      <c r="R14" s="21" t="s">
        <v>70</v>
      </c>
      <c r="S14" s="21" t="s">
        <v>70</v>
      </c>
      <c r="T14" s="21" t="s">
        <v>116</v>
      </c>
      <c r="U14" s="21" t="s">
        <v>62</v>
      </c>
      <c r="V14" s="21" t="s">
        <v>63</v>
      </c>
      <c r="W14" s="21" t="s">
        <v>71</v>
      </c>
      <c r="X14" s="21" t="s">
        <v>90</v>
      </c>
      <c r="Y14" s="21" t="s">
        <v>62</v>
      </c>
      <c r="Z14" s="21" t="s">
        <v>91</v>
      </c>
      <c r="AA14" s="21" t="s">
        <v>117</v>
      </c>
      <c r="AB14" s="21" t="s">
        <v>75</v>
      </c>
      <c r="AD14" t="str">
        <v>Historical_BS_Topsides_Othr</v>
      </c>
      <c r="AF14" t="str">
        <f t="shared" si="0"/>
        <v>Historical_BS_Topsides_Merged</v>
      </c>
      <c r="AG14" t="str">
        <f t="shared" si="1"/>
        <v>EREJ</v>
      </c>
      <c r="AI14" s="4" t="str">
        <f>_xlfn.VALUETOTEXT(SUBSTITUTE(SUBSTITUTE(tbl_DynDB_JOB_METADATA[[#This Row],[TransformationQuery]], "\n", CHAR(10)), CHAR(34), ""))</f>
        <v xml:space="preserve">WITH qtrlag AS (
  SELECT 
    qtr.val_date, 
    qtr.valuation_block, 
    qtr.balance, 
    qtr.input_source, 
    qtr.input_source_description, 
    qtr.input_source_metadata, 
    'Quarter Lag' AS topside_approach, 
    qtr.policy_count, 
    qtr.base_policy_db, 
    qtr.rider_db, 
    qtr.adb_db, 
    qtr.source_policy_count, 
    qtr.source_base_policy_db, 
    qtr.source_rider_db, 
    qtr.source_adb_db, 
    qtr.ga_av, 
    qtr.sa_av, 
    qtr.ga_cv, 
    qtr.sa_cv, 
    qtr.shadow_av, 
    qtr.indexed_av, 
    qtr.fixed_av, 
    qtr.excess_min_prem_1, 
    qtr.excess_min_prem_2, 
    qtr.excess_min_prem_3, 
    qtr.loan_value, 
    qtr.loan_unearned_int, 
    qtr.rlus_gaap_balance, 
    qtr.tpa_gaap_balance, 
    qtr.stat_balance, 
    qtr.tax_balance, 
    qtr.ny_basis_stat_balance, 
    qtr.economic_balance, 
    qtr.bma_balance, 
    qtr.ics_balance, 
    qtr.ifrs_balance 
  FROM 
    QTRLAGTBL qtr
), 
schrunoff AS (
  SELECT 
    sch.val_date, 
    sch.valuation_block, 
    sch.balance, 
    sch.input_source, 
    sch.input_source_description, 
    sch.input_source_metadata, 
    'Scheduled RunOff' AS topside_approach, 
    CAST(
      '0.00' AS DECIMAL(38, 0)
    ) AS policy_count, 
    CAST(
      '0.00' AS DECIMAL(38, 2)
    ) AS base_policy_db, 
    CAST(
      '0.00' AS DECIMAL(38, 2)
    ) AS rider_db, 
    CAST(
      '0.00' AS DECIMAL(38, 2)
    ) AS adb_db, 
    CAST(
      '0.00' AS DECIMAL(38, 0)
    ) AS source_policy_count, 
    CAST(
      '0.00' AS DECIMAL(38, 2)
    ) AS source_base_policy_db, 
    CAST(
      '0.00' AS DECIMAL(38, 2)
    ) AS source_rider_db, 
    CAST(
      '0.00' AS DECIMAL(38, 2)
    ) AS source_adb_db, 
    CAST(
      '0.00' AS DECIMAL(38, 2)
    ) AS ga_av, 
    CAST(
      '0.00' AS DECIMAL(38, 2)
    ) AS sa_av, 
    CAST(
      '0.00' AS DECIMAL(38, 2)
    ) AS ga_cv, 
    CAST(
      '0.00' AS DECIMAL(38, 2)
    ) AS sa_cv, 
    CAST(
      '0.00' AS DECIMAL(38, 2)
    ) AS shadow_av, 
    CAST(
      '0.00' AS DECIMAL(38, 2)
    ) AS indexed_av, 
    CAST(
      '0.00' AS DECIMAL(38, 2)
    ) AS fixed_av, 
    CAST(
      '0.00' AS DECIMAL(38, 2)
    ) AS excess_min_prem_1, 
    CAST(
      '0.00' AS DECIMAL(38, 2)
    ) AS excess_min_prem_2, 
    CAST(
      '0.00' AS DECIMAL(38, 2)
    ) AS excess_min_prem_3, 
    CAST(
      '0.00' AS DECIMAL(38, 2)
    ) AS loan_value, 
    CAST(
      '0.00' AS DECIMAL(38, 2)
    ) AS loan_unearned_int, 
    sch.rlus_gaap_balance, 
    sch.tpa_gaap_balance, 
    sch.stat_balance, 
    sch.tax_balance, 
    sch.ny_basis_stat_balance, 
    sch.economic_balance, 
    sch.bma_balance, 
    sch.ics_balance, 
    sch.ifrs_balance 
  FROM 
    SCHRUNOFFTBL sch
  WHERE 
    sch.val_date IN (
      SELECT 
        DISTINCT q.val_date val_date 
      FROM 
        qtrlag q
    )
), 
other AS (
  SELECT 
    othr.val_date, 
    othr.valuation_block, 
    othr.balance, 
    othr.input_source, 
    othr.input_source_description, 
    othr.input_source_metadata, 
    'Other' AS topside_approach, 
    othr.policy_count, 
    othr.base_policy_db, 
    othr.rider_db, 
    othr.adb_db, 
    othr.source_policy_count, 
    othr.source_base_policy_db, 
    othr.source_rider_db, 
    othr.source_adb_db, 
    othr.ga_av, 
    othr.sa_av, 
    othr.ga_cv, 
    othr.sa_cv, 
    othr.shadow_av, 
    othr.indexed_av, 
    othr.fixed_av, 
    othr.excess_min_prem_1, 
    othr.excess_min_prem_2, 
    othr.excess_min_prem_3, 
    othr.loan_value, 
    othr.loan_unearned_int, 
    othr.rlus_gaap_balance, 
    othr.tpa_gaap_balance, 
    othr.stat_balance, 
    othr.tax_balance, 
    othr.ny_basis_stat_balance, 
    othr.economic_balance, 
    othr.bma_balance, 
    othr.ics_balance, 
    othr.ifrs_balance 
  FROM 
    OTHERTBL othr 
), 
merged AS (
  SELECT 
    * 
  FROM 
    qtrlag 
  UNION ALL 
  SELECT 
    * 
  FROM 
    other 
  UNION ALL 
  SELECT 
    * 
  FROM 
    schrunoff
) 
SELECT 
  DISTINCT 
  merged.val_date, 
  merged.valuation_block, 
  merged.balance, 
  merged.input_source, 
  merged.input_source_description, 
  merged.input_source_metadata, 
  merged.topside_approach, 
  SUM(merged.policy_count) AS policy_count, 
  SUM(merged.base_policy_db) AS base_policy_db, 
  SUM(merged.rider_db) AS rider_db, 
  SUM(merged.adb_db) AS adb_db, 
  SUM(merged.source_policy_count) AS source_policy_count, 
  SUM(merged.source_base_policy_db) AS source_base_policy_db, 
  SUM(merged.source_rider_db) AS source_rider_db, 
  SUM(merged.source_adb_db) AS source_adb_db, 
  SUM(merged.ga_av) AS ga_av, 
  SUM(merged.sa_av) AS sa_av, 
  SUM(merged.ga_cv) AS ga_cv, 
  SUM(merged.sa_cv) AS sa_cv, 
  SUM(merged.shadow_av) AS shadow_av, 
  SUM(merged.indexed_av) AS indexed_av, 
  SUM(merged.fixed_av) AS fixed_av, 
  SUM(merged.excess_min_prem_1) AS excess_min_prem_1, 
  SUM(merged.excess_min_prem_2) AS excess_min_prem_2, 
  SUM(merged.excess_min_prem_3) AS excess_min_prem_3, 
  SUM(merged.loan_value) AS loan_value, 
  SUM(merged.loan_unearned_int) AS loan_unearned_int, 
  SUM(merged.rlus_gaap_balance) AS rlus_gaap_balance, 
  SUM(merged.tpa_gaap_balance) AS tpa_gaap_balance, 
  SUM(merged.stat_balance) AS stat_balance, 
  SUM(merged.tax_balance) AS tax_balance, 
  SUM(merged.ny_basis_stat_balance) AS ny_basis_stat_balance, 
  SUM(merged.economic_balance) AS economic_balance, 
  SUM(merged.bma_balance) AS bma_balance, 
  SUM(merged.ics_balance) AS ics_balance, 
  SUM(merged.ifrs_balance) AS ifrs_balance 
FROM 
  merged 
GROUP BY 
  merged.val_date, 
  merged.valuation_block, 
  merged.balance, 
  merged.input_source, 
  merged.input_source_description, 
  merged.input_source_metadata, 
  merged.topside_approach 
ORDER BY 
  merged.val_date DESC, 
  merged.topside_approach, 
  merged.valuation_block, 
  merged.balance
</v>
      </c>
    </row>
    <row r="15" spans="1:35" x14ac:dyDescent="0.2">
      <c r="A15" s="21" t="s">
        <v>118</v>
      </c>
      <c r="B15" s="21" t="s">
        <v>60</v>
      </c>
      <c r="C15" s="21" t="s">
        <v>119</v>
      </c>
      <c r="D15" s="21" t="s">
        <v>62</v>
      </c>
      <c r="E15" s="21" t="s">
        <v>63</v>
      </c>
      <c r="F15" s="21" t="s">
        <v>120</v>
      </c>
      <c r="G15" s="21" t="s">
        <v>121</v>
      </c>
      <c r="H15" s="21" t="s">
        <v>86</v>
      </c>
      <c r="I15" s="21" t="s">
        <v>60</v>
      </c>
      <c r="J15" s="21" t="s">
        <v>67</v>
      </c>
      <c r="K15" s="21" t="s">
        <v>122</v>
      </c>
      <c r="L15" s="21" t="s">
        <v>123</v>
      </c>
      <c r="M15" s="20">
        <v>500</v>
      </c>
      <c r="N15" s="20">
        <v>500</v>
      </c>
      <c r="O15" s="21" t="s">
        <v>66</v>
      </c>
      <c r="P15" s="21" t="s">
        <v>67</v>
      </c>
      <c r="Q15" s="21" t="s">
        <v>62</v>
      </c>
      <c r="R15" s="21" t="s">
        <v>70</v>
      </c>
      <c r="S15" s="21" t="s">
        <v>70</v>
      </c>
      <c r="T15" s="21" t="s">
        <v>63</v>
      </c>
      <c r="U15" s="21" t="s">
        <v>62</v>
      </c>
      <c r="V15" s="21" t="s">
        <v>63</v>
      </c>
      <c r="W15" s="21" t="s">
        <v>71</v>
      </c>
      <c r="X15" s="21" t="s">
        <v>72</v>
      </c>
      <c r="Y15" s="21" t="s">
        <v>62</v>
      </c>
      <c r="Z15" s="21" t="s">
        <v>110</v>
      </c>
      <c r="AA15" s="21" t="s">
        <v>124</v>
      </c>
      <c r="AB15" s="21" t="s">
        <v>75</v>
      </c>
      <c r="AD15" t="str">
        <v>Historical_BS_Topsides_QtrLag</v>
      </c>
      <c r="AF15" t="str">
        <f t="shared" si="0"/>
        <v>Historical_BS_Topsides_Othr</v>
      </c>
      <c r="AG15" t="str">
        <f t="shared" si="1"/>
        <v>EBER</v>
      </c>
      <c r="AI15" s="4" t="str">
        <f>_xlfn.VALUETOTEXT(SUBSTITUTE(SUBSTITUTE(tbl_DynDB_JOB_METADATA[[#This Row],[TransformationQuery]], "\n", CHAR(10)), CHAR(34), ""))</f>
        <v>SELECT DISTINCT 
  CAST(
    src.val_date AS DATE
  ) AS val_date, 
  src.valuation_block, 
  src.balance, 
  src.input_source, 
  src.input_source_description,
  src.input_source_metadata, 
  CAST(
    src.policy_count AS DECIMAL(38, 0)
  ) AS policy_count, 
  CAST(
    src.base_policy_db AS DECIMAL(38, 2)
  ) AS base_policy_db, 
  CAST(
    src.rider_db AS DECIMAL(38, 2)
  ) AS rider_db, 
  CAST(
    src.adb_db AS DECIMAL(38, 2)
  ) AS adb_db, 
  CAST(
    src.source_policy_count AS DECIMAL(38, 0)
  ) AS source_policy_count, 
  CAST(
    src.source_base_policy_db AS DECIMAL(38, 2)
  ) AS source_base_policy_db, 
  CAST(
    src.source_rider_db AS DECIMAL(38, 2)
  ) AS source_rider_db, 
  CAST(
    src.source_adb_db AS DECIMAL(38, 2)
  ) AS source_adb_db, 
  CAST(
    src.ga_av AS DECIMAL(38, 2)
  ) AS ga_av, 
  CAST(
    src.sa_av AS DECIMAL(38, 2)
  ) AS sa_av, 
  CAST(
    src.ga_cv AS DECIMAL(38, 2)
  ) AS ga_cv, 
  CAST(
    src.sa_cv AS DECIMAL(38, 2)
  ) AS sa_cv, 
  CAST(
    src.shadow_av AS DECIMAL(38, 2)
  ) AS shadow_av, 
  CAST(
    src.indexed_av AS DECIMAL(38, 2)
  ) AS indexed_av, 
  CAST(
    src.fixed_av AS DECIMAL(38, 2)
  ) AS fixed_av, 
  CAST(
    src.excess_min_prem_1 AS DECIMAL(38, 2)
  ) AS excess_min_prem_1, 
  CAST(
    src.excess_min_prem_2 AS DECIMAL(38, 2)
  ) AS excess_min_prem_2, 
  CAST(
    src.excess_min_prem_3 AS DECIMAL(38, 2)
  ) AS excess_min_prem_3, 
  CAST(
    src.loan_value AS DECIMAL(38, 2)
  ) AS loan_value, 
  CAST(
    src.loan_unearned_int AS DECIMAL(38, 2)
  ) AS loan_unearned_int, 
  CAST(
    src.rlus_gaap_balance AS DECIMAL(38, 2)
  ) AS rlus_gaap_balance, 
  CAST(
    src.tpa_gaap_balance AS DECIMAL(38, 2)
  ) AS tpa_gaap_balance, 
  CAST(
    src.stat_balance AS DECIMAL(38, 2)
  ) AS stat_balance, 
  CAST(
    src.tax_balance AS DECIMAL(38, 2)
  ) AS tax_balance, 
  CAST(
    src.ny_basis_stat_balance AS DECIMAL(38, 2)
  ) AS ny_basis_stat_balance, 
  CAST(
    src.economic_balance AS DECIMAL(38, 2)
  ) AS economic_balance, 
  CAST(
    src.bma_balance AS DECIMAL(38, 2)
  ) AS bma_balance, 
  CAST(
    src.ics_balance AS DECIMAL(38, 2)
  ) AS ics_balance, 
  CAST(
    src.ifrs_balance AS DECIMAL(38, 2)
  ) AS ifrs_balance 
FROM 
  SOURCE src</v>
      </c>
    </row>
    <row r="16" spans="1:35" x14ac:dyDescent="0.2">
      <c r="A16" s="21" t="s">
        <v>125</v>
      </c>
      <c r="B16" s="21" t="s">
        <v>60</v>
      </c>
      <c r="C16" s="21" t="s">
        <v>122</v>
      </c>
      <c r="D16" s="21" t="s">
        <v>62</v>
      </c>
      <c r="E16" s="21" t="s">
        <v>77</v>
      </c>
      <c r="F16" s="21" t="s">
        <v>126</v>
      </c>
      <c r="G16" s="21" t="s">
        <v>121</v>
      </c>
      <c r="H16" s="21" t="s">
        <v>79</v>
      </c>
      <c r="I16" s="21" t="s">
        <v>63</v>
      </c>
      <c r="J16" s="21" t="s">
        <v>63</v>
      </c>
      <c r="K16" s="21" t="s">
        <v>63</v>
      </c>
      <c r="L16" s="21" t="s">
        <v>127</v>
      </c>
      <c r="M16" s="20">
        <v>500</v>
      </c>
      <c r="N16" s="20">
        <v>500</v>
      </c>
      <c r="O16" s="21" t="s">
        <v>66</v>
      </c>
      <c r="P16" s="21" t="s">
        <v>67</v>
      </c>
      <c r="Q16" s="21" t="s">
        <v>62</v>
      </c>
      <c r="R16" s="21" t="s">
        <v>70</v>
      </c>
      <c r="S16" s="21" t="s">
        <v>70</v>
      </c>
      <c r="T16" s="21" t="s">
        <v>63</v>
      </c>
      <c r="U16" s="21" t="s">
        <v>62</v>
      </c>
      <c r="V16" s="21" t="s">
        <v>63</v>
      </c>
      <c r="W16" s="21" t="s">
        <v>71</v>
      </c>
      <c r="X16" s="21" t="s">
        <v>72</v>
      </c>
      <c r="Y16" s="21" t="s">
        <v>63</v>
      </c>
      <c r="Z16" s="21" t="s">
        <v>118</v>
      </c>
      <c r="AA16" s="21" t="s">
        <v>81</v>
      </c>
      <c r="AB16" s="21" t="s">
        <v>75</v>
      </c>
      <c r="AD16" t="str">
        <v>Historical_BS_Topsides_SchRunOff</v>
      </c>
      <c r="AF16" t="str">
        <f t="shared" si="0"/>
        <v>Historical_BS_Topsides_Othr</v>
      </c>
      <c r="AG16" t="str">
        <f t="shared" si="1"/>
        <v>ELEB</v>
      </c>
      <c r="AI16" s="4" t="str">
        <f>_xlfn.VALUETOTEXT(SUBSTITUTE(SUBSTITUTE(tbl_DynDB_JOB_METADATA[[#This Row],[TransformationQuery]], "\n", CHAR(10)), CHAR(34), ""))</f>
        <v>Select src.* FROM SOURCE src</v>
      </c>
    </row>
    <row r="17" spans="1:35" x14ac:dyDescent="0.2">
      <c r="A17" s="21" t="s">
        <v>128</v>
      </c>
      <c r="B17" s="21" t="s">
        <v>60</v>
      </c>
      <c r="C17" s="21" t="s">
        <v>129</v>
      </c>
      <c r="D17" s="21" t="s">
        <v>62</v>
      </c>
      <c r="E17" s="21" t="s">
        <v>63</v>
      </c>
      <c r="F17" s="21" t="s">
        <v>130</v>
      </c>
      <c r="G17" s="21" t="s">
        <v>131</v>
      </c>
      <c r="H17" s="21" t="s">
        <v>86</v>
      </c>
      <c r="I17" s="21" t="s">
        <v>60</v>
      </c>
      <c r="J17" s="21" t="s">
        <v>67</v>
      </c>
      <c r="K17" s="21" t="s">
        <v>132</v>
      </c>
      <c r="L17" s="21" t="s">
        <v>133</v>
      </c>
      <c r="M17" s="20">
        <v>500</v>
      </c>
      <c r="N17" s="20">
        <v>500</v>
      </c>
      <c r="O17" s="21" t="s">
        <v>66</v>
      </c>
      <c r="P17" s="21" t="s">
        <v>67</v>
      </c>
      <c r="Q17" s="21" t="s">
        <v>62</v>
      </c>
      <c r="R17" s="21" t="s">
        <v>70</v>
      </c>
      <c r="S17" s="21" t="s">
        <v>70</v>
      </c>
      <c r="T17" s="21" t="s">
        <v>63</v>
      </c>
      <c r="U17" s="21" t="s">
        <v>62</v>
      </c>
      <c r="V17" s="21" t="s">
        <v>63</v>
      </c>
      <c r="W17" s="21" t="s">
        <v>71</v>
      </c>
      <c r="X17" s="21" t="s">
        <v>72</v>
      </c>
      <c r="Y17" s="21" t="s">
        <v>62</v>
      </c>
      <c r="Z17" s="21" t="s">
        <v>110</v>
      </c>
      <c r="AA17" s="21" t="s">
        <v>124</v>
      </c>
      <c r="AB17" s="21" t="s">
        <v>75</v>
      </c>
      <c r="AD17" t="str">
        <v>Historical_TopsideMerged</v>
      </c>
      <c r="AF17" t="str">
        <f t="shared" si="0"/>
        <v>Historical_BS_Topsides_QtrLag</v>
      </c>
      <c r="AG17" t="str">
        <f t="shared" si="1"/>
        <v>EBER</v>
      </c>
      <c r="AI17" s="4" t="str">
        <f>_xlfn.VALUETOTEXT(SUBSTITUTE(SUBSTITUTE(tbl_DynDB_JOB_METADATA[[#This Row],[TransformationQuery]], "\n", CHAR(10)), CHAR(34), ""))</f>
        <v>SELECT DISTINCT 
  CAST(
    src.val_date AS DATE
  ) AS val_date, 
  src.valuation_block, 
  src.balance, 
  src.input_source, 
  src.input_source_description,
  src.input_source_metadata, 
  CAST(
    src.policy_count AS DECIMAL(38, 0)
  ) AS policy_count, 
  CAST(
    src.base_policy_db AS DECIMAL(38, 2)
  ) AS base_policy_db, 
  CAST(
    src.rider_db AS DECIMAL(38, 2)
  ) AS rider_db, 
  CAST(
    src.adb_db AS DECIMAL(38, 2)
  ) AS adb_db, 
  CAST(
    src.source_policy_count AS DECIMAL(38, 0)
  ) AS source_policy_count, 
  CAST(
    src.source_base_policy_db AS DECIMAL(38, 2)
  ) AS source_base_policy_db, 
  CAST(
    src.source_rider_db AS DECIMAL(38, 2)
  ) AS source_rider_db, 
  CAST(
    src.source_adb_db AS DECIMAL(38, 2)
  ) AS source_adb_db, 
  CAST(
    src.ga_av AS DECIMAL(38, 2)
  ) AS ga_av, 
  CAST(
    src.sa_av AS DECIMAL(38, 2)
  ) AS sa_av, 
  CAST(
    src.ga_cv AS DECIMAL(38, 2)
  ) AS ga_cv, 
  CAST(
    src.sa_cv AS DECIMAL(38, 2)
  ) AS sa_cv, 
  CAST(
    src.shadow_av AS DECIMAL(38, 2)
  ) AS shadow_av, 
  CAST(
    src.indexed_av AS DECIMAL(38, 2)
  ) AS indexed_av, 
  CAST(
    src.fixed_av AS DECIMAL(38, 2)
  ) AS fixed_av, 
  CAST(
    src.excess_min_prem_1 AS DECIMAL(38, 2)
  ) AS excess_min_prem_1, 
  CAST(
    src.excess_min_prem_2 AS DECIMAL(38, 2)
  ) AS excess_min_prem_2, 
  CAST(
    src.excess_min_prem_3 AS DECIMAL(38, 2)
  ) AS excess_min_prem_3, 
  CAST(
    src.loan_value AS DECIMAL(38, 2)
  ) AS loan_value, 
  CAST(
    src.loan_unearned_int AS DECIMAL(38, 2)
  ) AS loan_unearned_int, 
  CAST(
    src.rlus_gaap_balance AS DECIMAL(38, 2)
  ) AS rlus_gaap_balance, 
  CAST(
    src.tpa_gaap_balance AS DECIMAL(38, 2)
  ) AS tpa_gaap_balance, 
  CAST(
    src.stat_balance AS DECIMAL(38, 2)
  ) AS stat_balance, 
  CAST(
    src.tax_balance AS DECIMAL(38, 2)
  ) AS tax_balance, 
  CAST(
    src.ny_basis_stat_balance AS DECIMAL(38, 2)
  ) AS ny_basis_stat_balance, 
  CAST(
    src.economic_balance AS DECIMAL(38, 2)
  ) AS economic_balance, 
  CAST(
    src.bma_balance AS DECIMAL(38, 2)
  ) AS bma_balance, 
  CAST(
    src.ics_balance AS DECIMAL(38, 2)
  ) AS ics_balance, 
  CAST(
    src.ifrs_balance AS DECIMAL(38, 2)
  ) AS ifrs_balance 
FROM 
  SOURCE src</v>
      </c>
    </row>
    <row r="18" spans="1:35" x14ac:dyDescent="0.2">
      <c r="A18" s="21" t="s">
        <v>134</v>
      </c>
      <c r="B18" s="21" t="s">
        <v>60</v>
      </c>
      <c r="C18" s="21" t="s">
        <v>132</v>
      </c>
      <c r="D18" s="21" t="s">
        <v>62</v>
      </c>
      <c r="E18" s="21" t="s">
        <v>77</v>
      </c>
      <c r="F18" s="21" t="s">
        <v>135</v>
      </c>
      <c r="G18" s="21" t="s">
        <v>131</v>
      </c>
      <c r="H18" s="21" t="s">
        <v>79</v>
      </c>
      <c r="I18" s="21" t="s">
        <v>63</v>
      </c>
      <c r="J18" s="21" t="s">
        <v>63</v>
      </c>
      <c r="K18" s="21" t="s">
        <v>63</v>
      </c>
      <c r="L18" s="21" t="s">
        <v>136</v>
      </c>
      <c r="M18" s="20">
        <v>500</v>
      </c>
      <c r="N18" s="20">
        <v>500</v>
      </c>
      <c r="O18" s="21" t="s">
        <v>66</v>
      </c>
      <c r="P18" s="21" t="s">
        <v>67</v>
      </c>
      <c r="Q18" s="21" t="s">
        <v>62</v>
      </c>
      <c r="R18" s="21" t="s">
        <v>70</v>
      </c>
      <c r="S18" s="21" t="s">
        <v>70</v>
      </c>
      <c r="T18" s="21" t="s">
        <v>63</v>
      </c>
      <c r="U18" s="21" t="s">
        <v>62</v>
      </c>
      <c r="V18" s="21" t="s">
        <v>63</v>
      </c>
      <c r="W18" s="21" t="s">
        <v>71</v>
      </c>
      <c r="X18" s="21" t="s">
        <v>72</v>
      </c>
      <c r="Y18" s="21" t="s">
        <v>63</v>
      </c>
      <c r="Z18" s="21" t="s">
        <v>128</v>
      </c>
      <c r="AA18" s="21" t="s">
        <v>81</v>
      </c>
      <c r="AB18" s="21" t="s">
        <v>75</v>
      </c>
      <c r="AD18" t="str">
        <v>Historical_TopsideQtrLag</v>
      </c>
      <c r="AF18" t="str">
        <f t="shared" si="0"/>
        <v>Historical_BS_Topsides_QtrLag</v>
      </c>
      <c r="AG18" t="str">
        <f t="shared" si="1"/>
        <v>ELEB</v>
      </c>
      <c r="AI18" s="4" t="str">
        <f>_xlfn.VALUETOTEXT(SUBSTITUTE(SUBSTITUTE(tbl_DynDB_JOB_METADATA[[#This Row],[TransformationQuery]], "\n", CHAR(10)), CHAR(34), ""))</f>
        <v>Select src.* FROM SOURCE src</v>
      </c>
    </row>
    <row r="19" spans="1:35" x14ac:dyDescent="0.2">
      <c r="A19" s="21" t="s">
        <v>137</v>
      </c>
      <c r="B19" s="21" t="s">
        <v>60</v>
      </c>
      <c r="C19" s="21" t="s">
        <v>138</v>
      </c>
      <c r="D19" s="21" t="s">
        <v>62</v>
      </c>
      <c r="E19" s="21" t="s">
        <v>63</v>
      </c>
      <c r="F19" s="21" t="s">
        <v>139</v>
      </c>
      <c r="G19" s="21" t="s">
        <v>140</v>
      </c>
      <c r="H19" s="21" t="s">
        <v>86</v>
      </c>
      <c r="I19" s="21" t="s">
        <v>60</v>
      </c>
      <c r="J19" s="21" t="s">
        <v>67</v>
      </c>
      <c r="K19" s="21" t="s">
        <v>141</v>
      </c>
      <c r="L19" s="21" t="s">
        <v>142</v>
      </c>
      <c r="M19" s="20">
        <v>500</v>
      </c>
      <c r="N19" s="20">
        <v>500</v>
      </c>
      <c r="O19" s="21" t="s">
        <v>66</v>
      </c>
      <c r="P19" s="21" t="s">
        <v>67</v>
      </c>
      <c r="Q19" s="21" t="s">
        <v>62</v>
      </c>
      <c r="R19" s="21" t="s">
        <v>70</v>
      </c>
      <c r="S19" s="21" t="s">
        <v>70</v>
      </c>
      <c r="T19" s="21" t="s">
        <v>63</v>
      </c>
      <c r="U19" s="21" t="s">
        <v>62</v>
      </c>
      <c r="V19" s="21" t="s">
        <v>63</v>
      </c>
      <c r="W19" s="21" t="s">
        <v>71</v>
      </c>
      <c r="X19" s="21" t="s">
        <v>72</v>
      </c>
      <c r="Y19" s="21" t="s">
        <v>62</v>
      </c>
      <c r="Z19" s="21" t="s">
        <v>110</v>
      </c>
      <c r="AA19" s="21" t="s">
        <v>143</v>
      </c>
      <c r="AB19" s="21" t="s">
        <v>75</v>
      </c>
      <c r="AD19" t="str">
        <v>Historical_TopsideSchRunOff</v>
      </c>
      <c r="AF19" t="str">
        <f t="shared" si="0"/>
        <v>Historical_BS_Topsides_SchRunOff</v>
      </c>
      <c r="AG19" t="str">
        <f t="shared" si="1"/>
        <v>EBER</v>
      </c>
      <c r="AI19" s="4" t="str">
        <f>_xlfn.VALUETOTEXT(SUBSTITUTE(SUBSTITUTE(tbl_DynDB_JOB_METADATA[[#This Row],[TransformationQuery]], "\n", CHAR(10)), CHAR(34), ""))</f>
        <v>SELECT DISTINCT 
    CAST(
        src.val_date AS DATE
    ) AS val_date, 
    src.val_qtr, 
    CAST(
        src.topside_id AS INTEGER
    ) AS topside_id, 
    src.valuation_block,
    src.balance, 
    src.input_source,
    src.input_source_description,
    src.input_source_metadata,
    CAST(
        src.runoff_start_date AS DATE
    ) AS runoff_start_date,
    CAST(
        src.runoff_quarters AS INTEGER
    ) AS runoff_quarters, 
    CAST(
        src.runoff_finish_date AS DATE
    ) AS runoff_finish_date, 
    src.quarter_type,
    CAST(
        src.runoff_pattern AS INTEGER
    ) AS runoff_pattern,
    CAST(
        src.rlus_gaap_balance AS DECIMAL(38,2)
    ) AS rlus_gaap_balance,
    CAST(
        src.tpa_gaap_balance AS DECIMAL(38, 2)
    ) AS tpa_gaap_balance, 
    CAST(
        src.stat_balance AS DECIMAL(38, 2)
    ) AS stat_balance, 
    CAST(
        src.tax_balance AS DECIMAL(38, 2)
    ) AS tax_balance, 
    CAST(
        src.ny_basis_stat_balance AS DECIMAL(38, 2)
    ) AS ny_basis_stat_balance, 
    CAST(
        src.economic_balance AS DECIMAL(38, 2)
    ) AS economic_balance, 
    CAST(
        src.bma_balance AS DECIMAL(38, 2)
    ) AS bma_balance, 
    CAST(
        src.ics_balance AS DECIMAL(38, 2)
    ) AS ics_balance, 
    CAST(
        src.ifrs_balance AS DECIMAL(38, 2)
    ) AS ifrs_balance 
FROM 
  SOURCE src</v>
      </c>
    </row>
    <row r="20" spans="1:35" x14ac:dyDescent="0.2">
      <c r="A20" s="21" t="s">
        <v>144</v>
      </c>
      <c r="B20" s="21" t="s">
        <v>60</v>
      </c>
      <c r="C20" s="21" t="s">
        <v>141</v>
      </c>
      <c r="D20" s="21" t="s">
        <v>62</v>
      </c>
      <c r="E20" s="21" t="s">
        <v>77</v>
      </c>
      <c r="F20" s="21" t="s">
        <v>145</v>
      </c>
      <c r="G20" s="21" t="s">
        <v>140</v>
      </c>
      <c r="H20" s="21" t="s">
        <v>79</v>
      </c>
      <c r="I20" s="21" t="s">
        <v>63</v>
      </c>
      <c r="J20" s="21" t="s">
        <v>63</v>
      </c>
      <c r="K20" s="21" t="s">
        <v>63</v>
      </c>
      <c r="L20" s="21" t="s">
        <v>146</v>
      </c>
      <c r="M20" s="20">
        <v>500</v>
      </c>
      <c r="N20" s="20">
        <v>500</v>
      </c>
      <c r="O20" s="21" t="s">
        <v>66</v>
      </c>
      <c r="P20" s="21" t="s">
        <v>67</v>
      </c>
      <c r="Q20" s="21" t="s">
        <v>62</v>
      </c>
      <c r="R20" s="21" t="s">
        <v>70</v>
      </c>
      <c r="S20" s="21" t="s">
        <v>70</v>
      </c>
      <c r="T20" s="21" t="s">
        <v>63</v>
      </c>
      <c r="U20" s="21" t="s">
        <v>62</v>
      </c>
      <c r="V20" s="21" t="s">
        <v>63</v>
      </c>
      <c r="W20" s="21" t="s">
        <v>71</v>
      </c>
      <c r="X20" s="21" t="s">
        <v>72</v>
      </c>
      <c r="Y20" s="21" t="s">
        <v>63</v>
      </c>
      <c r="Z20" s="21" t="s">
        <v>137</v>
      </c>
      <c r="AA20" s="21" t="s">
        <v>81</v>
      </c>
      <c r="AB20" s="21" t="s">
        <v>75</v>
      </c>
      <c r="AD20" t="str">
        <v>Historical_Val_Acct_BS_Voya</v>
      </c>
      <c r="AF20" t="str">
        <f t="shared" si="0"/>
        <v>Historical_BS_Topsides_SchRunOff</v>
      </c>
      <c r="AG20" t="str">
        <f t="shared" si="1"/>
        <v>ELEB</v>
      </c>
      <c r="AI20" s="4" t="str">
        <f>_xlfn.VALUETOTEXT(SUBSTITUTE(SUBSTITUTE(tbl_DynDB_JOB_METADATA[[#This Row],[TransformationQuery]], "\n", CHAR(10)), CHAR(34), ""))</f>
        <v>Select src.* FROM SOURCE src</v>
      </c>
    </row>
    <row r="21" spans="1:35" x14ac:dyDescent="0.2">
      <c r="A21" s="21" t="s">
        <v>147</v>
      </c>
      <c r="B21" s="21" t="s">
        <v>94</v>
      </c>
      <c r="C21" s="21" t="s">
        <v>148</v>
      </c>
      <c r="D21" s="21" t="s">
        <v>62</v>
      </c>
      <c r="E21" s="21" t="s">
        <v>63</v>
      </c>
      <c r="F21" s="21" t="s">
        <v>149</v>
      </c>
      <c r="G21" s="21" t="s">
        <v>150</v>
      </c>
      <c r="H21" s="21" t="s">
        <v>66</v>
      </c>
      <c r="I21" s="21" t="s">
        <v>60</v>
      </c>
      <c r="J21" s="21" t="s">
        <v>151</v>
      </c>
      <c r="K21" s="21" t="s">
        <v>152</v>
      </c>
      <c r="L21" s="21" t="s">
        <v>153</v>
      </c>
      <c r="M21" s="20">
        <v>500</v>
      </c>
      <c r="N21" s="20">
        <v>500</v>
      </c>
      <c r="O21" s="21" t="s">
        <v>86</v>
      </c>
      <c r="P21" s="21" t="s">
        <v>151</v>
      </c>
      <c r="Q21" s="21" t="s">
        <v>63</v>
      </c>
      <c r="R21" s="21" t="s">
        <v>70</v>
      </c>
      <c r="S21" s="21" t="s">
        <v>100</v>
      </c>
      <c r="T21" s="21" t="s">
        <v>63</v>
      </c>
      <c r="U21" s="21" t="s">
        <v>62</v>
      </c>
      <c r="V21" s="21" t="s">
        <v>63</v>
      </c>
      <c r="W21" s="21" t="s">
        <v>71</v>
      </c>
      <c r="X21" s="21" t="s">
        <v>72</v>
      </c>
      <c r="Y21" s="21" t="s">
        <v>63</v>
      </c>
      <c r="Z21" s="21" t="s">
        <v>63</v>
      </c>
      <c r="AA21" s="21" t="s">
        <v>101</v>
      </c>
      <c r="AB21" s="21" t="s">
        <v>75</v>
      </c>
      <c r="AD21" t="str">
        <v>Historical_Val_Acct_BS</v>
      </c>
      <c r="AF21" t="str">
        <f t="shared" si="0"/>
        <v>Historical_TopsideMerged</v>
      </c>
      <c r="AG21" t="str">
        <f t="shared" si="1"/>
        <v>EJCC</v>
      </c>
      <c r="AI21" s="4" t="str">
        <f>_xlfn.VALUETOTEXT(SUBSTITUTE(SUBSTITUTE(tbl_DynDB_JOB_METADATA[[#This Row],[TransformationQuery]], "\n", CHAR(10)), CHAR(34), ""))</f>
        <v>SELECT src.* FROM SOURCE src</v>
      </c>
    </row>
    <row r="22" spans="1:35" x14ac:dyDescent="0.2">
      <c r="A22" s="21" t="s">
        <v>154</v>
      </c>
      <c r="B22" s="21" t="s">
        <v>60</v>
      </c>
      <c r="C22" s="21" t="s">
        <v>152</v>
      </c>
      <c r="D22" s="21" t="s">
        <v>62</v>
      </c>
      <c r="E22" s="21" t="s">
        <v>63</v>
      </c>
      <c r="F22" s="21" t="s">
        <v>155</v>
      </c>
      <c r="G22" s="21" t="s">
        <v>150</v>
      </c>
      <c r="H22" s="21" t="s">
        <v>86</v>
      </c>
      <c r="I22" s="21" t="s">
        <v>60</v>
      </c>
      <c r="J22" s="21" t="s">
        <v>151</v>
      </c>
      <c r="K22" s="21" t="s">
        <v>156</v>
      </c>
      <c r="L22" s="21" t="s">
        <v>157</v>
      </c>
      <c r="M22" s="20">
        <v>500</v>
      </c>
      <c r="N22" s="20">
        <v>500</v>
      </c>
      <c r="O22" s="21" t="s">
        <v>66</v>
      </c>
      <c r="P22" s="21" t="s">
        <v>151</v>
      </c>
      <c r="Q22" s="21" t="s">
        <v>63</v>
      </c>
      <c r="R22" s="21" t="s">
        <v>70</v>
      </c>
      <c r="S22" s="21" t="s">
        <v>70</v>
      </c>
      <c r="T22" s="21" t="s">
        <v>63</v>
      </c>
      <c r="U22" s="21" t="s">
        <v>62</v>
      </c>
      <c r="V22" s="21" t="s">
        <v>63</v>
      </c>
      <c r="W22" s="21" t="s">
        <v>71</v>
      </c>
      <c r="X22" s="21" t="s">
        <v>158</v>
      </c>
      <c r="Y22" s="21" t="s">
        <v>63</v>
      </c>
      <c r="Z22" s="21" t="s">
        <v>147</v>
      </c>
      <c r="AA22" s="21" t="s">
        <v>159</v>
      </c>
      <c r="AB22" s="21" t="s">
        <v>75</v>
      </c>
      <c r="AD22" t="str">
        <v>Historical_Val_Acct_IS</v>
      </c>
      <c r="AF22" t="str">
        <f t="shared" si="0"/>
        <v>Historical_TopsideMerged</v>
      </c>
      <c r="AG22" t="str">
        <f t="shared" si="1"/>
        <v>EREJ</v>
      </c>
      <c r="AI22" s="4" t="str">
        <f>_xlfn.VALUETOTEXT(SUBSTITUTE(SUBSTITUTE(tbl_DynDB_JOB_METADATA[[#This Row],[TransformationQuery]], "\n", CHAR(10)), CHAR(34), ""))</f>
        <v xml:space="preserve">WITH merged AS (
	SELECT DISTINCT 
		qtr.* 
	FROM QTRLAG qtr 
	UNION 
	SELECT DISTINCT 
		sch.val_date, 
		sch.block_id, 
		sch.balance_id, 
		sch.source_id, 
		sch.valuation_block, 
		sch.balance, 
		'Historical_TopsideSchRunOff' AS input_source, 
		sch.source_detail AS input_source_detail, 
		sch.eol_policy_count, 
		sch.eol_base_policy_db, 
		sch.eol_rider_db, 
		sch.eol_adb_db, 
		sch.source_policy_count, 
		sch.source_base_policy_db, 
		sch.source_rider_db, 
		sch.source_adb_db, 
		sch.ga_av, 
		sch.sa_av, 
		sch.ga_cv, 
		sch.sa_cv, 
		sch.shadow_av_1, 
		sch.shadow_av_2, 
		sch.shadow_av_3, 
		sch.excess_min_prem_1, 
		sch.excess_min_prem_2,
		sch.excess_min_prem_3,
		sch.loan_value, 
		sch.loan_unearned_int,
		sch.gaap_balance,
		sch.tpa_gaap_balance,
		sch.stat_balance,
		sch.tax_balance, 
		sch.ny_basis_stat_balance, 
		sch.economic_balance, 
		sch.bma_balance, 
		sch.monthlybatchid 
	FROM SCHRUNOFF sch
)
SELECT 
	* 
FROM merged m 
WHERE m.block_id IS NOT NULL AND 
	m.balance_id IS NOT NULL AND 
	source_id IS NOT NULL 
ORDER BY m.source_id, m.val_date
</v>
      </c>
    </row>
    <row r="23" spans="1:35" x14ac:dyDescent="0.2">
      <c r="A23" s="21" t="s">
        <v>160</v>
      </c>
      <c r="B23" s="21" t="s">
        <v>60</v>
      </c>
      <c r="C23" s="21" t="s">
        <v>161</v>
      </c>
      <c r="D23" s="21" t="s">
        <v>62</v>
      </c>
      <c r="E23" s="21" t="s">
        <v>77</v>
      </c>
      <c r="F23" s="21" t="s">
        <v>162</v>
      </c>
      <c r="G23" s="21" t="s">
        <v>163</v>
      </c>
      <c r="H23" s="21" t="s">
        <v>66</v>
      </c>
      <c r="I23" s="21" t="s">
        <v>60</v>
      </c>
      <c r="J23" s="21" t="s">
        <v>151</v>
      </c>
      <c r="K23" s="21" t="s">
        <v>164</v>
      </c>
      <c r="L23" s="21" t="s">
        <v>165</v>
      </c>
      <c r="M23" s="20">
        <v>500</v>
      </c>
      <c r="N23" s="20">
        <v>500</v>
      </c>
      <c r="O23" s="21" t="s">
        <v>66</v>
      </c>
      <c r="P23" s="21" t="s">
        <v>151</v>
      </c>
      <c r="Q23" s="21" t="s">
        <v>63</v>
      </c>
      <c r="R23" s="21" t="s">
        <v>70</v>
      </c>
      <c r="S23" s="21" t="s">
        <v>70</v>
      </c>
      <c r="T23" s="21" t="s">
        <v>63</v>
      </c>
      <c r="U23" s="21" t="s">
        <v>62</v>
      </c>
      <c r="V23" s="21" t="s">
        <v>63</v>
      </c>
      <c r="W23" s="21" t="s">
        <v>71</v>
      </c>
      <c r="X23" s="21" t="s">
        <v>72</v>
      </c>
      <c r="Y23" s="21" t="s">
        <v>63</v>
      </c>
      <c r="Z23" s="21" t="s">
        <v>154</v>
      </c>
      <c r="AA23" s="21" t="s">
        <v>166</v>
      </c>
      <c r="AB23" s="21" t="s">
        <v>75</v>
      </c>
      <c r="AD23" t="str">
        <v>Input_BS_Prophet_VoyaBlock_Seriatim</v>
      </c>
      <c r="AF23" t="str">
        <f t="shared" si="0"/>
        <v>Historical_TopsideQtrLag</v>
      </c>
      <c r="AG23" t="str">
        <f t="shared" si="1"/>
        <v>EBER</v>
      </c>
      <c r="AI23" s="4" t="str">
        <f>_xlfn.VALUETOTEXT(SUBSTITUTE(SUBSTITUTE(tbl_DynDB_JOB_METADATA[[#This Row],[TransformationQuery]], "\n", CHAR(10)), CHAR(34), ""))</f>
        <v xml:space="preserve">SELECT 
  Cast(
    TRIM(src.valuation_date) AS DATE
  ) AS val_date, 
  Cast(
    TRIM(src.block_id) AS INT
  ) AS block_id, 
  Cast(
    TRIM(src.balance_id) AS INT
  ) AS balance_id, 
  Cast(
    TRIM(src.source_id) AS INT
  ) AS source_id, 
  TRIM(src.valuation_block) AS valuation_block, 
  TRIM(src.balance) AS balance, 
  TRIM(src.input_source) AS input_source, 
  TRIM(src.input_source_detail) AS input_source_detail, 
  Cast(
    TRIM(src.eol_policy_count) AS DECIMAL(38, 0)
  ) AS eol_policy_count, 
  Cast(
    TRIM(src.eol_base_policy_db) AS DECIMAL(38, 2)
  ) AS eol_base_policy_db, 
  Cast(
    TRIM(src.eol_rider_db) AS DECIMAL(38, 2)
  ) AS eol_rider_db, 
  Cast(
    TRIM(src.eol_adb_db) AS DECIMAL(38, 2)
  ) AS eol_adb_db, 
  Cast(
    TRIM(src.source_policy_count) AS DECIMAL(38, 0)
  ) AS source_policy_count, 
  Cast(
    TRIM(src.source_base_policy_db) AS DECIMAL(38, 2)
  ) AS source_base_policy_db, 
  Cast(
    TRIM(src.source_rider_db) AS DECIMAL(38, 2)
  ) AS source_rider_db, 
  Cast(
    TRIM(src.source_adb_db) AS DECIMAL(38, 2)
  ) AS source_adb_db, 
  Cast(
    TRIM(src.ga_av) AS DECIMAL(38, 2)
  ) AS ga_av, 
  Cast(
    TRIM(src.sa_av) AS DECIMAL(38, 2)
  ) AS sa_av, 
  Cast(
    TRIM(src.ga_cv) AS DECIMAL(38, 2)
  ) AS ga_cv, 
  Cast(
    TRIM(src.sa_cv) AS DECIMAL(38, 2)
  ) AS sa_cv, 
  Cast(
    TRIM(src.shadow_av_1) AS DECIMAL(38, 2)
  ) AS shadow_av_1, 
  Cast(
    TRIM(src.shadow_av_2) AS DECIMAL(38, 2)
  ) AS shadow_av_2, 
  Cast(
    TRIM(src.shadow_av_3) AS DECIMAL(38, 2)
  ) AS shadow_av_3, 
  Cast(
    TRIM(src.excess_min_prem_1) AS DECIMAL(38, 2)
  ) AS excess_min_prem_1, 
  Cast(
    TRIM(src.excess_min_prem_2) AS DECIMAL(38, 2)
  ) AS excess_min_prem_2, 
  Cast(
    TRIM(src.excess_min_prem_3) AS DECIMAL(38, 2)
  ) AS excess_min_prem_3, 
  Cast(
    TRIM(src.loan_value) AS DECIMAL(38, 2)
  ) AS loan_value, 
  Cast(
    TRIM(src.loan_unearned_int) AS DECIMAL(38, 2)
  ) AS loan_unearned_int, 
  Cast(
    TRIM(src.gaap_balance) AS DECIMAL(38, 2)
  ) AS gaap_balance, 
  Cast(
    TRIM(src.tpa_gaap_balance) AS DECIMAL(38, 2)
  ) AS tpa_gaap_balance, 
  Cast(
    TRIM(src.stat_balance) AS DECIMAL(38, 2)
  ) AS stat_balance, 
  Cast(
    TRIM(src.tax_balance) AS DECIMAL(38, 2)
  ) AS tax_balance, 
  Cast(
    TRIM(src.ny_basis_stat_balance) AS DECIMAL(38, 2)
  ) AS ny_basis_stat_balance, 
  Cast(
    TRIM(src.economic_balance) AS DECIMAL(38, 2)
  ) AS economic_balance, 
  Cast(
    TRIM(src.bma_balance) AS DECIMAL(38, 2)
  ) AS bma_balance 
FROM 
  SOURCE src
</v>
      </c>
    </row>
    <row r="24" spans="1:35" x14ac:dyDescent="0.2">
      <c r="A24" s="21" t="s">
        <v>167</v>
      </c>
      <c r="B24" s="21" t="s">
        <v>60</v>
      </c>
      <c r="C24" s="21" t="s">
        <v>164</v>
      </c>
      <c r="D24" s="21" t="s">
        <v>62</v>
      </c>
      <c r="E24" s="21" t="s">
        <v>77</v>
      </c>
      <c r="F24" s="21" t="s">
        <v>168</v>
      </c>
      <c r="G24" s="21" t="s">
        <v>163</v>
      </c>
      <c r="H24" s="21" t="s">
        <v>79</v>
      </c>
      <c r="I24" s="21" t="s">
        <v>60</v>
      </c>
      <c r="J24" s="21" t="s">
        <v>151</v>
      </c>
      <c r="K24" s="21" t="s">
        <v>63</v>
      </c>
      <c r="L24" s="21" t="s">
        <v>169</v>
      </c>
      <c r="M24" s="20">
        <v>500</v>
      </c>
      <c r="N24" s="20">
        <v>500</v>
      </c>
      <c r="O24" s="21" t="s">
        <v>66</v>
      </c>
      <c r="P24" s="21" t="s">
        <v>151</v>
      </c>
      <c r="Q24" s="21" t="s">
        <v>63</v>
      </c>
      <c r="R24" s="21" t="s">
        <v>70</v>
      </c>
      <c r="S24" s="21" t="s">
        <v>70</v>
      </c>
      <c r="T24" s="21" t="s">
        <v>63</v>
      </c>
      <c r="U24" s="21" t="s">
        <v>62</v>
      </c>
      <c r="V24" s="21" t="s">
        <v>63</v>
      </c>
      <c r="W24" s="21" t="s">
        <v>71</v>
      </c>
      <c r="X24" s="21" t="s">
        <v>72</v>
      </c>
      <c r="Y24" s="21" t="s">
        <v>63</v>
      </c>
      <c r="Z24" s="21" t="s">
        <v>160</v>
      </c>
      <c r="AA24" s="21" t="s">
        <v>81</v>
      </c>
      <c r="AB24" s="21" t="s">
        <v>75</v>
      </c>
      <c r="AD24" t="str">
        <v>Input_BS_Topsides_Merged</v>
      </c>
      <c r="AF24" t="str">
        <f t="shared" si="0"/>
        <v>Historical_TopsideQtrLag</v>
      </c>
      <c r="AG24" t="str">
        <f t="shared" si="1"/>
        <v>ELEB</v>
      </c>
      <c r="AI24" s="4" t="str">
        <f>_xlfn.VALUETOTEXT(SUBSTITUTE(SUBSTITUTE(tbl_DynDB_JOB_METADATA[[#This Row],[TransformationQuery]], "\n", CHAR(10)), CHAR(34), ""))</f>
        <v>Select src.* FROM SOURCE src</v>
      </c>
    </row>
    <row r="25" spans="1:35" x14ac:dyDescent="0.2">
      <c r="A25" s="21" t="s">
        <v>170</v>
      </c>
      <c r="B25" s="21" t="s">
        <v>60</v>
      </c>
      <c r="C25" s="21" t="s">
        <v>171</v>
      </c>
      <c r="D25" s="21" t="s">
        <v>62</v>
      </c>
      <c r="E25" s="21" t="s">
        <v>63</v>
      </c>
      <c r="F25" s="21" t="s">
        <v>172</v>
      </c>
      <c r="G25" s="21" t="s">
        <v>173</v>
      </c>
      <c r="H25" s="21" t="s">
        <v>66</v>
      </c>
      <c r="I25" s="21" t="s">
        <v>60</v>
      </c>
      <c r="J25" s="21" t="s">
        <v>151</v>
      </c>
      <c r="K25" s="21" t="s">
        <v>174</v>
      </c>
      <c r="L25" s="21" t="s">
        <v>175</v>
      </c>
      <c r="M25" s="20">
        <v>500</v>
      </c>
      <c r="N25" s="20">
        <v>500</v>
      </c>
      <c r="O25" s="21" t="s">
        <v>66</v>
      </c>
      <c r="P25" s="21" t="s">
        <v>151</v>
      </c>
      <c r="Q25" s="21" t="s">
        <v>63</v>
      </c>
      <c r="R25" s="21" t="s">
        <v>70</v>
      </c>
      <c r="S25" s="21" t="s">
        <v>70</v>
      </c>
      <c r="T25" s="21" t="s">
        <v>63</v>
      </c>
      <c r="U25" s="21" t="s">
        <v>62</v>
      </c>
      <c r="V25" s="21" t="s">
        <v>63</v>
      </c>
      <c r="W25" s="21" t="s">
        <v>71</v>
      </c>
      <c r="X25" s="21" t="s">
        <v>72</v>
      </c>
      <c r="Y25" s="21" t="s">
        <v>63</v>
      </c>
      <c r="Z25" s="21" t="s">
        <v>154</v>
      </c>
      <c r="AA25" s="21" t="s">
        <v>176</v>
      </c>
      <c r="AB25" s="21" t="s">
        <v>75</v>
      </c>
      <c r="AD25" t="str">
        <v>Input_BS_Topsides_Othr</v>
      </c>
      <c r="AF25" t="str">
        <f t="shared" si="0"/>
        <v>Historical_TopsideSchRunOff</v>
      </c>
      <c r="AG25" t="str">
        <f t="shared" si="1"/>
        <v>EBER</v>
      </c>
      <c r="AI25" s="4" t="str">
        <f>_xlfn.VALUETOTEXT(SUBSTITUTE(SUBSTITUTE(tbl_DynDB_JOB_METADATA[[#This Row],[TransformationQuery]], "\n", CHAR(10)), CHAR(34), ""))</f>
        <v xml:space="preserve">SELECT 
  CAST(src.valuation_date AS DATE) AS val_date, 
  CAST(src.valuation_quarter AS STRING) AS val_qtr, 
  CAST(src.topside_id AS INTEGER) AS topside_id, 
  CAST(src.block_id AS INTEGER) AS block_id, 
  CAST(src.balance_id AS INTEGER) AS balance_id, 
  CAST(src.source_id AS INTEGER) AS source_id, 
  CAST(src.runoff_start_date AS DATE) AS runoff_start_date, 
  CAST(src.runoff_quarters AS INTEGER) AS runoff_quarters, 
  CAST(src.runoff_finish_date AS DATE) AS runoff_finish_date, 
  CAST(src.quarter_type AS STRING) AS quarter_type, 
  CAST(src.runoff_pattern AS INTEGER) AS runoff_pattern, 
  CAST(src.valuation_block AS STRING) AS valuation_block, 
  CAST(src.balance AS STRING) AS balance, 
  CAST(src.source_detail AS STRING) AS source_detail, 
  CAST(
    '0' AS DECIMAL(38, 0)
  ) AS eol_policy_count, 
  CAST(
    '0' AS DECIMAL(38, 2)
  ) AS eol_base_policy_db, 
  CAST(
    '0' AS DECIMAL(38, 2)
  ) AS eol_rider_db, 
  CAST(
    '0' AS DECIMAL(38, 2)
  ) AS eol_adb_db, 
  CAST(
    '0' AS DECIMAL(38, 0)
  ) AS source_policy_count, 
  CAST(
    '0' AS DECIMAL(38, 2)
  ) AS source_base_policy_db, 
  CAST(
    '0' AS DECIMAL(38, 2)
  ) AS source_rider_db, 
  CAST(
    '0' AS DECIMAL(38, 2)
  ) AS source_adb_db, 
  CAST(
    '0' AS DECIMAL(38, 2)
  ) AS ga_av, 
  CAST(
    '0' AS DECIMAL(38, 2)
  ) AS sa_av, 
  CAST(
    '0' AS DECIMAL(38, 2)
  ) AS ga_cv, 
  CAST(
    '0' AS DECIMAL(38, 2)
  ) AS sa_cv, 
  CAST(
    '0' AS DECIMAL(38, 2)
  ) AS shadow_av_1, 
  CAST(
    '0' AS DECIMAL(38, 2)
  ) AS shadow_av_2, 
  CAST(
    '0' AS DECIMAL(38, 2)
  ) AS shadow_av_3, 
  CAST(
    '0' AS DECIMAL(38, 2)
  ) AS excess_min_prem_1, 
  CAST(
    '0' AS DECIMAL(38, 2)
  ) AS excess_min_prem_2, 
  CAST(
    '0' AS DECIMAL(38, 2)
  ) AS excess_min_prem_3, 
  CAST(
    '0' AS DECIMAL(38, 2)
  ) AS loan_value, 
  CAST(
    '0' AS DECIMAL(38, 2)
  ) AS loan_unearned_int, 
  CAST(
    TRIM(src.gaap_balance) AS DECIMAL(38, 2)
  ) AS gaap_balance, 
  CAST(
    TRIM(src.tpa_gaap_balance) AS DECIMAL(38, 2)
  ) AS tpa_gaap_balance, 
  CAST(
    TRIM(src.stat_balance) AS DECIMAL(38, 2)
  ) AS stat_balance, 
  CAST(
    TRIM(src.tax_balance) AS DECIMAL(38, 2)
  ) AS tax_balance, 
  CAST(
    TRIM(src.ny_basis_stat_balance) AS DECIMAL(38, 2)
  ) AS ny_basis_stat_balance, 
  CAST(
    TRIM(src.economic_balance) AS DECIMAL(38, 2)
  ) AS economic_balance, 
  CAST(
    TRIM(src.bma_balance) AS DECIMAL(38, 2)
  ) AS bma_balance 
FROM 
  SOURC src
</v>
      </c>
    </row>
    <row r="26" spans="1:35" x14ac:dyDescent="0.2">
      <c r="A26" s="21" t="s">
        <v>177</v>
      </c>
      <c r="B26" s="21" t="s">
        <v>60</v>
      </c>
      <c r="C26" s="21" t="s">
        <v>174</v>
      </c>
      <c r="D26" s="21" t="s">
        <v>62</v>
      </c>
      <c r="E26" s="21" t="s">
        <v>77</v>
      </c>
      <c r="F26" s="21" t="s">
        <v>178</v>
      </c>
      <c r="G26" s="21" t="s">
        <v>173</v>
      </c>
      <c r="H26" s="21" t="s">
        <v>79</v>
      </c>
      <c r="I26" s="21" t="s">
        <v>63</v>
      </c>
      <c r="J26" s="21" t="s">
        <v>63</v>
      </c>
      <c r="K26" s="21" t="s">
        <v>63</v>
      </c>
      <c r="L26" s="21" t="s">
        <v>179</v>
      </c>
      <c r="M26" s="20">
        <v>500</v>
      </c>
      <c r="N26" s="20">
        <v>500</v>
      </c>
      <c r="O26" s="21" t="s">
        <v>66</v>
      </c>
      <c r="P26" s="21" t="s">
        <v>151</v>
      </c>
      <c r="Q26" s="21" t="s">
        <v>63</v>
      </c>
      <c r="R26" s="21" t="s">
        <v>70</v>
      </c>
      <c r="S26" s="21" t="s">
        <v>70</v>
      </c>
      <c r="T26" s="21" t="s">
        <v>63</v>
      </c>
      <c r="U26" s="21" t="s">
        <v>62</v>
      </c>
      <c r="V26" s="21" t="s">
        <v>63</v>
      </c>
      <c r="W26" s="21" t="s">
        <v>71</v>
      </c>
      <c r="X26" s="21" t="s">
        <v>72</v>
      </c>
      <c r="Y26" s="21" t="s">
        <v>63</v>
      </c>
      <c r="Z26" s="21" t="s">
        <v>170</v>
      </c>
      <c r="AA26" s="21" t="s">
        <v>81</v>
      </c>
      <c r="AB26" s="21" t="s">
        <v>75</v>
      </c>
      <c r="AD26" t="str">
        <v>Input_BS_Topsides_QtrLag_Actuals</v>
      </c>
      <c r="AF26" t="str">
        <f t="shared" si="0"/>
        <v>Historical_TopsideSchRunOff</v>
      </c>
      <c r="AG26" t="str">
        <f t="shared" si="1"/>
        <v>ELEB</v>
      </c>
      <c r="AI26" s="4" t="str">
        <f>_xlfn.VALUETOTEXT(SUBSTITUTE(SUBSTITUTE(tbl_DynDB_JOB_METADATA[[#This Row],[TransformationQuery]], "\n", CHAR(10)), CHAR(34), ""))</f>
        <v>Select src.* FROM SOURCE src</v>
      </c>
    </row>
    <row r="27" spans="1:35" x14ac:dyDescent="0.2">
      <c r="A27" s="21" t="s">
        <v>180</v>
      </c>
      <c r="B27" s="21" t="s">
        <v>60</v>
      </c>
      <c r="C27" s="21" t="s">
        <v>181</v>
      </c>
      <c r="D27" s="21" t="s">
        <v>62</v>
      </c>
      <c r="E27" s="21" t="s">
        <v>63</v>
      </c>
      <c r="F27" s="21" t="s">
        <v>182</v>
      </c>
      <c r="G27" s="21" t="s">
        <v>183</v>
      </c>
      <c r="H27" s="21" t="s">
        <v>66</v>
      </c>
      <c r="I27" s="21" t="s">
        <v>60</v>
      </c>
      <c r="J27" s="21" t="s">
        <v>151</v>
      </c>
      <c r="K27" s="21" t="s">
        <v>184</v>
      </c>
      <c r="L27" s="21" t="s">
        <v>185</v>
      </c>
      <c r="M27" s="20">
        <v>500</v>
      </c>
      <c r="N27" s="20">
        <v>500</v>
      </c>
      <c r="O27" s="21" t="s">
        <v>66</v>
      </c>
      <c r="P27" s="21" t="s">
        <v>151</v>
      </c>
      <c r="Q27" s="21" t="s">
        <v>63</v>
      </c>
      <c r="R27" s="21" t="s">
        <v>70</v>
      </c>
      <c r="S27" s="21" t="s">
        <v>70</v>
      </c>
      <c r="T27" s="21" t="s">
        <v>63</v>
      </c>
      <c r="U27" s="21" t="s">
        <v>62</v>
      </c>
      <c r="V27" s="21" t="s">
        <v>63</v>
      </c>
      <c r="W27" s="21" t="s">
        <v>71</v>
      </c>
      <c r="X27" s="21" t="s">
        <v>72</v>
      </c>
      <c r="Y27" s="21" t="s">
        <v>63</v>
      </c>
      <c r="Z27" s="21" t="s">
        <v>186</v>
      </c>
      <c r="AA27" s="21" t="s">
        <v>81</v>
      </c>
      <c r="AB27" s="21" t="s">
        <v>75</v>
      </c>
      <c r="AD27" t="str">
        <v>Input_BS_Topsides_QtrLag</v>
      </c>
      <c r="AF27" t="str">
        <f t="shared" si="0"/>
        <v>Historical_Val_Acct_BS_Voya</v>
      </c>
      <c r="AG27" t="str">
        <f t="shared" si="1"/>
        <v>EBER</v>
      </c>
      <c r="AI27" s="4" t="str">
        <f>_xlfn.VALUETOTEXT(SUBSTITUTE(SUBSTITUTE(tbl_DynDB_JOB_METADATA[[#This Row],[TransformationQuery]], "\n", CHAR(10)), CHAR(34), ""))</f>
        <v>Select src.* FROM SOURCE src</v>
      </c>
    </row>
    <row r="28" spans="1:35" x14ac:dyDescent="0.2">
      <c r="A28" s="21" t="s">
        <v>187</v>
      </c>
      <c r="B28" s="21" t="s">
        <v>60</v>
      </c>
      <c r="C28" s="21" t="s">
        <v>184</v>
      </c>
      <c r="D28" s="21" t="s">
        <v>62</v>
      </c>
      <c r="E28" s="21" t="s">
        <v>77</v>
      </c>
      <c r="F28" s="21" t="s">
        <v>185</v>
      </c>
      <c r="G28" s="21" t="s">
        <v>183</v>
      </c>
      <c r="H28" s="21" t="s">
        <v>79</v>
      </c>
      <c r="I28" s="21" t="s">
        <v>60</v>
      </c>
      <c r="J28" s="21" t="s">
        <v>151</v>
      </c>
      <c r="K28" s="21" t="s">
        <v>63</v>
      </c>
      <c r="L28" s="21" t="s">
        <v>188</v>
      </c>
      <c r="M28" s="20">
        <v>500</v>
      </c>
      <c r="N28" s="20">
        <v>500</v>
      </c>
      <c r="O28" s="21" t="s">
        <v>66</v>
      </c>
      <c r="P28" s="21" t="s">
        <v>151</v>
      </c>
      <c r="Q28" s="21" t="s">
        <v>63</v>
      </c>
      <c r="R28" s="21" t="s">
        <v>70</v>
      </c>
      <c r="S28" s="21" t="s">
        <v>70</v>
      </c>
      <c r="T28" s="21" t="s">
        <v>63</v>
      </c>
      <c r="U28" s="21" t="s">
        <v>62</v>
      </c>
      <c r="V28" s="21" t="s">
        <v>63</v>
      </c>
      <c r="W28" s="21" t="s">
        <v>71</v>
      </c>
      <c r="X28" s="21" t="s">
        <v>72</v>
      </c>
      <c r="Y28" s="21" t="s">
        <v>63</v>
      </c>
      <c r="Z28" s="21" t="s">
        <v>180</v>
      </c>
      <c r="AA28" s="21" t="s">
        <v>81</v>
      </c>
      <c r="AB28" s="21" t="s">
        <v>75</v>
      </c>
      <c r="AD28" t="str">
        <v>Input_BS_Topsides_SchRunOff_Filtered</v>
      </c>
      <c r="AF28" t="str">
        <f t="shared" si="0"/>
        <v>Historical_Val_Acct_BS_Voya</v>
      </c>
      <c r="AG28" t="str">
        <f t="shared" si="1"/>
        <v>ELEB</v>
      </c>
      <c r="AI28" s="4" t="str">
        <f>_xlfn.VALUETOTEXT(SUBSTITUTE(SUBSTITUTE(tbl_DynDB_JOB_METADATA[[#This Row],[TransformationQuery]], "\n", CHAR(10)), CHAR(34), ""))</f>
        <v>Select src.* FROM SOURCE src</v>
      </c>
    </row>
    <row r="29" spans="1:35" x14ac:dyDescent="0.2">
      <c r="A29" s="21" t="s">
        <v>186</v>
      </c>
      <c r="B29" s="21" t="s">
        <v>94</v>
      </c>
      <c r="C29" s="21" t="s">
        <v>189</v>
      </c>
      <c r="D29" s="21" t="s">
        <v>62</v>
      </c>
      <c r="E29" s="21" t="s">
        <v>63</v>
      </c>
      <c r="F29" s="21" t="s">
        <v>190</v>
      </c>
      <c r="G29" s="21" t="s">
        <v>183</v>
      </c>
      <c r="H29" s="21" t="s">
        <v>66</v>
      </c>
      <c r="I29" s="21" t="s">
        <v>60</v>
      </c>
      <c r="J29" s="21" t="s">
        <v>151</v>
      </c>
      <c r="K29" s="21" t="s">
        <v>181</v>
      </c>
      <c r="L29" s="21" t="s">
        <v>182</v>
      </c>
      <c r="M29" s="20">
        <v>500</v>
      </c>
      <c r="N29" s="20">
        <v>500</v>
      </c>
      <c r="O29" s="21" t="s">
        <v>66</v>
      </c>
      <c r="P29" s="21" t="s">
        <v>151</v>
      </c>
      <c r="Q29" s="21" t="s">
        <v>63</v>
      </c>
      <c r="R29" s="21" t="s">
        <v>70</v>
      </c>
      <c r="S29" s="21" t="s">
        <v>100</v>
      </c>
      <c r="T29" s="21" t="s">
        <v>63</v>
      </c>
      <c r="U29" s="21" t="s">
        <v>62</v>
      </c>
      <c r="V29" s="21" t="s">
        <v>63</v>
      </c>
      <c r="W29" s="21" t="s">
        <v>71</v>
      </c>
      <c r="X29" s="21" t="s">
        <v>72</v>
      </c>
      <c r="Y29" s="21" t="s">
        <v>63</v>
      </c>
      <c r="Z29" s="21" t="s">
        <v>63</v>
      </c>
      <c r="AA29" s="21" t="s">
        <v>81</v>
      </c>
      <c r="AB29" s="21" t="s">
        <v>75</v>
      </c>
      <c r="AD29" t="str">
        <v>Input_BS_Topsides_SchRunOff</v>
      </c>
      <c r="AF29" t="str">
        <f t="shared" si="0"/>
        <v>Historical_Val_Acct_BS_Voya</v>
      </c>
      <c r="AG29" t="str">
        <f t="shared" si="1"/>
        <v>ERCC</v>
      </c>
      <c r="AI29" s="4" t="str">
        <f>_xlfn.VALUETOTEXT(SUBSTITUTE(SUBSTITUTE(tbl_DynDB_JOB_METADATA[[#This Row],[TransformationQuery]], "\n", CHAR(10)), CHAR(34), ""))</f>
        <v>Select src.* FROM SOURCE src</v>
      </c>
    </row>
    <row r="30" spans="1:35" x14ac:dyDescent="0.2">
      <c r="A30" s="21" t="s">
        <v>191</v>
      </c>
      <c r="B30" s="21" t="s">
        <v>60</v>
      </c>
      <c r="C30" s="21" t="s">
        <v>192</v>
      </c>
      <c r="D30" s="21" t="s">
        <v>62</v>
      </c>
      <c r="E30" s="21" t="s">
        <v>63</v>
      </c>
      <c r="F30" s="21" t="s">
        <v>193</v>
      </c>
      <c r="G30" s="21" t="s">
        <v>194</v>
      </c>
      <c r="H30" s="21" t="s">
        <v>66</v>
      </c>
      <c r="I30" s="21" t="s">
        <v>60</v>
      </c>
      <c r="J30" s="21" t="s">
        <v>151</v>
      </c>
      <c r="K30" s="21" t="s">
        <v>195</v>
      </c>
      <c r="L30" s="21" t="s">
        <v>196</v>
      </c>
      <c r="M30" s="20">
        <v>500</v>
      </c>
      <c r="N30" s="20">
        <v>500</v>
      </c>
      <c r="O30" s="21" t="s">
        <v>66</v>
      </c>
      <c r="P30" s="21" t="s">
        <v>151</v>
      </c>
      <c r="Q30" s="21" t="s">
        <v>63</v>
      </c>
      <c r="R30" s="21" t="s">
        <v>70</v>
      </c>
      <c r="S30" s="21" t="s">
        <v>70</v>
      </c>
      <c r="T30" s="21" t="s">
        <v>63</v>
      </c>
      <c r="U30" s="21" t="s">
        <v>62</v>
      </c>
      <c r="V30" s="21" t="s">
        <v>63</v>
      </c>
      <c r="W30" s="21" t="s">
        <v>71</v>
      </c>
      <c r="X30" s="21" t="s">
        <v>72</v>
      </c>
      <c r="Y30" s="21" t="s">
        <v>63</v>
      </c>
      <c r="Z30" s="21" t="s">
        <v>197</v>
      </c>
      <c r="AA30" s="21" t="s">
        <v>198</v>
      </c>
      <c r="AB30" s="21" t="s">
        <v>75</v>
      </c>
      <c r="AD30" t="str">
        <v>Map_Balance_BS</v>
      </c>
      <c r="AF30" t="str">
        <f t="shared" si="0"/>
        <v>Historical_Val_Acct_BS</v>
      </c>
      <c r="AG30" t="str">
        <f t="shared" si="1"/>
        <v>EBER</v>
      </c>
      <c r="AI30" s="4" t="str">
        <f>_xlfn.VALUETOTEXT(SUBSTITUTE(SUBSTITUTE(tbl_DynDB_JOB_METADATA[[#This Row],[TransformationQuery]], "\n", CHAR(10)), CHAR(34), ""))</f>
        <v xml:space="preserve">SELECT 
  CAST(src.val_date AS DATE) AS val_date, 
  CAST(src.val_qtr AS STRING) AS valuation_quarter, 
  CAST(src.entry_type AS STRING) AS entry_type, 
  CAST(src.company AS STRING) AS company, 
  CAST(src.fas AS STRING) AS fas, 
  CAST(src.legal_entity AS STRING) AS legal_entity, 
  CAST(src.lob AS STRING) AS lob, 
  CAST(src.major_prod_type AS STRING) AS major_prod_type, 
  CAST(src.prod_type AS STRING) AS product_type, 
  CAST(src.valuation_block AS STRING) AS valuation_block, 
  CAST(src.direct_le AS STRING) AS direct_le, 
  CAST(src.rlus_gaap_cohort AS STRING) AS rlus_gaap_cohort, 
  CAST(src.tpa_gaap_cohort AS STRING) AS tpa_gaap_cohort, 
  CAST(src.grp_service AS STRING) AS grp_service, 
  CAST(src.grp_block AS STRING) AS grp_block, 
  CAST(src.grp_sub_block AS STRING) AS grp_sub_block, 
  CAST(src.par_code AS STRING) AS par_code, 
  CAST(src.insureds AS STRING) AS insureds, 
  CAST(src.input_source AS STRING) AS input_source, 
  CAST(src.input_source_description AS STRING) AS input_source_description, 
  CAST(src.input_source_meta_data AS STRING) AS input_source_meta_data, 
  CAST(src.dca_code AS STRING) AS dca_code, 
  CAST(src.reins_type AS STRING) AS reins_type, 
  CAST(src.gaap_reins_class AS STRING) AS gaap_reins_class, 
  CAST(src.stat_reins_class AS STRING) AS stat_reins_class, 
  CAST(src.ic_reins AS STRING) AS ic_reins, 
  CAST(src.financing_deal AS STRING) AS financing_deal, 
  CAST(src.sub_deal AS STRING) AS sub_deal, 
  CAST(src.balance_description AS STRING) AS balance_description, 
  CAST(src.chg_in_bal_description AS STRING) AS chg_in_bal_description, 
  CAST(src.policy_count AS INTEGER) AS policy_count, 
  CAST(
    TRIM(src.base_policy_db) AS DECIMAL(38, 2)
  ) AS base_policy_db, 
  CAST(
    TRIM(src.rider_db) AS DECIMAL(38, 2)
  ) AS rider_db, 
  CAST(
    TRIM(src.adb_db) AS DECIMAL(38, 2)
  ) AS adb_db, 
  CAST(src.source_policy_count AS DECIMAL(38, 0)) AS source_policy_count, 
  CAST(
    TRIM(src.source_base_policy_db) AS DECIMAL(38, 2)
  ) AS source_base_policy_db, 
  CAST(
    TRIM(src.source_rider_db) AS DECIMAL(38, 2)
  ) AS source_rider_db, 
  CAST(
    TRIM(src.source_adb_db) AS DECIMAL(38, 2)
  ) AS source_adb_db, 
  CAST(
    TRIM(src.ga_av) AS DECIMAL(38, 2)
  ) AS ga_av, 
  CAST(
    TRIM(src.sa_av) AS DECIMAL(38, 2)
  ) AS sa_av, 
  CAST(
    TRIM(src.ga_cv) AS DECIMAL(38, 2)
  ) AS ga_cv, 
  CAST(
    TRIM(src.sa_cv) AS DECIMAL(38, 2)
  ) AS sa_cv, 
  CAST(
    TRIM(src.shadow_av) AS DECIMAL(38, 2)
  ) AS shadow_av, 
  CAST(
    TRIM(src.indexed_av) AS DECIMAL(38, 2)
  ) AS indexed_av, 
  CAST(
    TRIM(src.fixed_av) AS DECIMAL(38, 2)
  ) AS fixed_av, 
  CAST(
    TRIM(src.excess_min_prem_1) AS DECIMAL(38, 2)
  ) AS excess_min_prem_1, 
  CAST(
    TRIM(src.excess_min_prem_2) AS DECIMAL(38, 2)
  ) AS excess_min_prem_2, 
  CAST(
    TRIM(src.excess_min_prem_3) AS DECIMAL(38, 2)
  ) AS excess_min_prem_3, 
  CAST(
    TRIM(src.loan_value) AS DECIMAL(38, 2)
  ) AS loan_value, 
  CAST(
    TRIM(src.loan_unearned_int) AS DECIMAL(38, 2)
  ) AS loan_unearned_int, 
  CAST(
    TRIM(src.rlus_gaap_balance) AS DECIMAL(38, 2)
  ) AS rlus_gaap_balance, 
  CAST(
    TRIM(src.tpa_gaap_balance) AS DECIMAL(38, 2)
  ) AS tpa_gaap_balance, 
  CAST(
    TRIM(src.stat_balance) AS DECIMAL(38, 2)
  ) AS stat_balance, 
  CAST(
    TRIM(src.tax_balance) AS DECIMAL(38, 2)
  ) AS tax_balance, 
  CAST(
    TRIM(src.ny_basis_stat_balance) AS DECIMAL(38, 2)
  ) AS ny_basis_stat_balance, 
  CAST(
    TRIM(src.economic_balance) AS DECIMAL(38, 2)
  ) AS economic_balance, 
  CAST(
    TRIM(src.bma_balance) AS DECIMAL(38, 2)
  ) AS bma_balance, 
  CAST(
    TRIM(src.ics_balance) AS DECIMAL(38, 2)
  ) AS ics_balance, 
  CAST(
    TRIM(src.ifrs_balance) AS DECIMAL(38, 2)
  ) AS ifrs_balance, 
  CAST(src.gaap_bs_cat AS STRING) AS gaap_bs_cat, 
  CAST(src.stat_bs_cat AS STRING) AS stat_bs_cat, 
  CAST(src.tax_bs_cat AS STRING) AS tax_bs_cat, 
  CAST(src.cft_mod AS STRING) AS cft_mod, 
  CAST(src.affiliate_le AS STRING) AS affiliate_le, 
  CAST(src.upload_entry_ind AS STRING) AS upload_entry_ind, 
  CAST(src.reins_rider AS STRING) AS reins_rider, 
  CAST(
    TRIM(src.reins_mult) AS DECIMAL(38, 2)
  ) AS reins_mult, 
  CAST(
    TRIM(src.gaap_mult) AS DECIMAL(38, 2)
  ) AS gaap_mult, 
  CAST(src.trend_category AS STRING) AS trend_category, 
  CAST(src.fin_reins_category AS STRING) AS fin_reins_category, 
  CAST(src.grossceded AS STRING) AS grossceded, 
  CAST(src.finreinsflag AS STRING) AS finreinsflag, 
  CAST(src.ledger_segment AS STRING) AS ledger_segment, 
  CAST(src.ledger_product AS STRING) AS ledger_product, 
  CAST(src.ledger_cohort AS STRING) AS ledger_cohort, 
  CAST(src.block_id AS INTEGER) AS block_id, 
  CAST(src.sub_deal_id AS INTEGER) AS sub_deal_id, 
  CAST(src.dca_id AS STRING) AS dca_id, 
  CAST(src.dca_id2 AS INTEGER) AS dca_id2, 
  CAST(src.source_id AS INTEGER) AS source_id, 
  CAST(src.balance_id AS INTEGER) AS balance_id, 
  CAST(src.combo_id AS INTEGER) AS combo_id, 
  CAST(src.upload_bs_lkup AS STRING) AS upload_bs_lkup, 
  CAST(src.le_code AS STRING) AS le_code, 
  CAST(src.affiliate_code AS STRING) AS affiliate_code, 
  CAST(src.prod_code AS STRING) AS product_code, 
  CAST(src.seg_code AS STRING) AS segment_code, 
  CAST(src.ins_type_code AS STRING) AS ins_type_code, 
  CAST(src.reins_code AS STRING) AS reinsurer_code, 
  CAST(src.treaty_code AS STRING) AS treaty_code, 
  CAST(src.stat_bs_acct AS STRING) AS stat_bs_acct, 
  CAST(src.gaap_bs_acct AS STRING) AS gaap_bs_acct, 
  CAST(src.bs_lkup AS INTEGER) AS bs_lkup 
FROM 
  SOURCE src
</v>
      </c>
    </row>
    <row r="31" spans="1:35" x14ac:dyDescent="0.2">
      <c r="A31" s="21" t="s">
        <v>199</v>
      </c>
      <c r="B31" s="21" t="s">
        <v>60</v>
      </c>
      <c r="C31" s="21" t="s">
        <v>195</v>
      </c>
      <c r="D31" s="21" t="s">
        <v>62</v>
      </c>
      <c r="E31" s="21" t="s">
        <v>77</v>
      </c>
      <c r="F31" s="21" t="s">
        <v>196</v>
      </c>
      <c r="G31" s="21" t="s">
        <v>194</v>
      </c>
      <c r="H31" s="21" t="s">
        <v>79</v>
      </c>
      <c r="I31" s="21" t="s">
        <v>60</v>
      </c>
      <c r="J31" s="21" t="s">
        <v>151</v>
      </c>
      <c r="K31" s="21" t="s">
        <v>63</v>
      </c>
      <c r="L31" s="21" t="s">
        <v>200</v>
      </c>
      <c r="M31" s="20">
        <v>500</v>
      </c>
      <c r="N31" s="20">
        <v>500</v>
      </c>
      <c r="O31" s="21" t="s">
        <v>66</v>
      </c>
      <c r="P31" s="21" t="s">
        <v>151</v>
      </c>
      <c r="Q31" s="21" t="s">
        <v>63</v>
      </c>
      <c r="R31" s="21" t="s">
        <v>70</v>
      </c>
      <c r="S31" s="21" t="s">
        <v>70</v>
      </c>
      <c r="T31" s="21" t="s">
        <v>63</v>
      </c>
      <c r="U31" s="21" t="s">
        <v>62</v>
      </c>
      <c r="V31" s="21" t="s">
        <v>63</v>
      </c>
      <c r="W31" s="21" t="s">
        <v>71</v>
      </c>
      <c r="X31" s="21" t="s">
        <v>72</v>
      </c>
      <c r="Y31" s="21" t="s">
        <v>63</v>
      </c>
      <c r="Z31" s="21" t="s">
        <v>191</v>
      </c>
      <c r="AA31" s="21" t="s">
        <v>81</v>
      </c>
      <c r="AB31" s="21" t="s">
        <v>75</v>
      </c>
      <c r="AD31" t="str">
        <v>Map_Balance_IS</v>
      </c>
      <c r="AF31" t="str">
        <f t="shared" si="0"/>
        <v>Historical_Val_Acct_BS</v>
      </c>
      <c r="AG31" t="str">
        <f t="shared" si="1"/>
        <v>ELEB</v>
      </c>
      <c r="AI31" s="4" t="str">
        <f>_xlfn.VALUETOTEXT(SUBSTITUTE(SUBSTITUTE(tbl_DynDB_JOB_METADATA[[#This Row],[TransformationQuery]], "\n", CHAR(10)), CHAR(34), ""))</f>
        <v>Select src.* FROM SOURCE src</v>
      </c>
    </row>
    <row r="32" spans="1:35" x14ac:dyDescent="0.2">
      <c r="A32" s="21" t="s">
        <v>197</v>
      </c>
      <c r="B32" s="21" t="s">
        <v>94</v>
      </c>
      <c r="C32" s="21" t="s">
        <v>201</v>
      </c>
      <c r="D32" s="21" t="s">
        <v>62</v>
      </c>
      <c r="E32" s="21" t="s">
        <v>63</v>
      </c>
      <c r="F32" s="21" t="s">
        <v>202</v>
      </c>
      <c r="G32" s="21" t="s">
        <v>194</v>
      </c>
      <c r="H32" s="21" t="s">
        <v>66</v>
      </c>
      <c r="I32" s="21" t="s">
        <v>60</v>
      </c>
      <c r="J32" s="21" t="s">
        <v>151</v>
      </c>
      <c r="K32" s="21" t="s">
        <v>192</v>
      </c>
      <c r="L32" s="21" t="s">
        <v>193</v>
      </c>
      <c r="M32" s="20">
        <v>500</v>
      </c>
      <c r="N32" s="20">
        <v>500</v>
      </c>
      <c r="O32" s="21" t="s">
        <v>66</v>
      </c>
      <c r="P32" s="21" t="s">
        <v>151</v>
      </c>
      <c r="Q32" s="21" t="s">
        <v>63</v>
      </c>
      <c r="R32" s="21" t="s">
        <v>70</v>
      </c>
      <c r="S32" s="21" t="s">
        <v>100</v>
      </c>
      <c r="T32" s="21" t="s">
        <v>63</v>
      </c>
      <c r="U32" s="21" t="s">
        <v>62</v>
      </c>
      <c r="V32" s="21" t="s">
        <v>63</v>
      </c>
      <c r="W32" s="21" t="s">
        <v>71</v>
      </c>
      <c r="X32" s="21" t="s">
        <v>72</v>
      </c>
      <c r="Y32" s="21" t="s">
        <v>63</v>
      </c>
      <c r="Z32" s="21" t="s">
        <v>63</v>
      </c>
      <c r="AA32" s="21" t="s">
        <v>81</v>
      </c>
      <c r="AB32" s="21" t="s">
        <v>75</v>
      </c>
      <c r="AD32" t="str">
        <v>Map_Block</v>
      </c>
      <c r="AF32" t="str">
        <f t="shared" si="0"/>
        <v>Historical_Val_Acct_BS</v>
      </c>
      <c r="AG32" t="str">
        <f t="shared" si="1"/>
        <v>ERCC</v>
      </c>
      <c r="AI32" s="4" t="str">
        <f>_xlfn.VALUETOTEXT(SUBSTITUTE(SUBSTITUTE(tbl_DynDB_JOB_METADATA[[#This Row],[TransformationQuery]], "\n", CHAR(10)), CHAR(34), ""))</f>
        <v>Select src.* FROM SOURCE src</v>
      </c>
    </row>
    <row r="33" spans="1:35" x14ac:dyDescent="0.2">
      <c r="A33" s="21" t="s">
        <v>203</v>
      </c>
      <c r="B33" s="21" t="s">
        <v>60</v>
      </c>
      <c r="C33" s="21" t="s">
        <v>204</v>
      </c>
      <c r="D33" s="21" t="s">
        <v>62</v>
      </c>
      <c r="E33" s="21" t="s">
        <v>63</v>
      </c>
      <c r="F33" s="21" t="s">
        <v>205</v>
      </c>
      <c r="G33" s="21" t="s">
        <v>206</v>
      </c>
      <c r="H33" s="21" t="s">
        <v>66</v>
      </c>
      <c r="I33" s="21" t="s">
        <v>60</v>
      </c>
      <c r="J33" s="21" t="s">
        <v>151</v>
      </c>
      <c r="K33" s="21" t="s">
        <v>207</v>
      </c>
      <c r="L33" s="21" t="s">
        <v>208</v>
      </c>
      <c r="M33" s="20">
        <v>500</v>
      </c>
      <c r="N33" s="20">
        <v>500</v>
      </c>
      <c r="O33" s="21" t="s">
        <v>66</v>
      </c>
      <c r="P33" s="21" t="s">
        <v>151</v>
      </c>
      <c r="Q33" s="21" t="s">
        <v>63</v>
      </c>
      <c r="R33" s="21" t="s">
        <v>70</v>
      </c>
      <c r="S33" s="21" t="s">
        <v>70</v>
      </c>
      <c r="T33" s="21" t="s">
        <v>63</v>
      </c>
      <c r="U33" s="21" t="s">
        <v>62</v>
      </c>
      <c r="V33" s="21" t="s">
        <v>63</v>
      </c>
      <c r="W33" s="21" t="s">
        <v>71</v>
      </c>
      <c r="X33" s="21" t="s">
        <v>72</v>
      </c>
      <c r="Y33" s="21" t="s">
        <v>63</v>
      </c>
      <c r="Z33" s="21" t="s">
        <v>209</v>
      </c>
      <c r="AA33" s="21" t="s">
        <v>63</v>
      </c>
      <c r="AB33" s="21" t="s">
        <v>75</v>
      </c>
      <c r="AD33" t="str">
        <v>Map_Company</v>
      </c>
      <c r="AF33" t="str">
        <f t="shared" si="0"/>
        <v>Historical_Val_Acct_IS</v>
      </c>
      <c r="AG33" t="str">
        <f t="shared" si="1"/>
        <v>EBER</v>
      </c>
      <c r="AI33" s="4" t="str">
        <f>_xlfn.VALUETOTEXT(SUBSTITUTE(SUBSTITUTE(tbl_DynDB_JOB_METADATA[[#This Row],[TransformationQuery]], "\n", CHAR(10)), CHAR(34), ""))</f>
        <v/>
      </c>
    </row>
    <row r="34" spans="1:35" x14ac:dyDescent="0.2">
      <c r="A34" s="21" t="s">
        <v>210</v>
      </c>
      <c r="B34" s="21" t="s">
        <v>60</v>
      </c>
      <c r="C34" s="21" t="s">
        <v>207</v>
      </c>
      <c r="D34" s="21" t="s">
        <v>62</v>
      </c>
      <c r="E34" s="21" t="s">
        <v>77</v>
      </c>
      <c r="F34" s="21" t="s">
        <v>208</v>
      </c>
      <c r="G34" s="21" t="s">
        <v>206</v>
      </c>
      <c r="H34" s="21" t="s">
        <v>79</v>
      </c>
      <c r="I34" s="21" t="s">
        <v>60</v>
      </c>
      <c r="J34" s="21" t="s">
        <v>151</v>
      </c>
      <c r="K34" s="21" t="s">
        <v>63</v>
      </c>
      <c r="L34" s="21" t="s">
        <v>211</v>
      </c>
      <c r="M34" s="20">
        <v>500</v>
      </c>
      <c r="N34" s="20">
        <v>500</v>
      </c>
      <c r="O34" s="21" t="s">
        <v>66</v>
      </c>
      <c r="P34" s="21" t="s">
        <v>151</v>
      </c>
      <c r="Q34" s="21" t="s">
        <v>63</v>
      </c>
      <c r="R34" s="21" t="s">
        <v>70</v>
      </c>
      <c r="S34" s="21" t="s">
        <v>70</v>
      </c>
      <c r="T34" s="21" t="s">
        <v>63</v>
      </c>
      <c r="U34" s="21" t="s">
        <v>62</v>
      </c>
      <c r="V34" s="21" t="s">
        <v>63</v>
      </c>
      <c r="W34" s="21" t="s">
        <v>71</v>
      </c>
      <c r="X34" s="21" t="s">
        <v>72</v>
      </c>
      <c r="Y34" s="21" t="s">
        <v>63</v>
      </c>
      <c r="Z34" s="21" t="s">
        <v>203</v>
      </c>
      <c r="AA34" s="21" t="s">
        <v>81</v>
      </c>
      <c r="AB34" s="21" t="s">
        <v>75</v>
      </c>
      <c r="AD34" t="str">
        <v>Map_EntryType</v>
      </c>
      <c r="AF34" t="str">
        <f t="shared" si="0"/>
        <v>Historical_Val_Acct_IS</v>
      </c>
      <c r="AG34" t="str">
        <f t="shared" si="1"/>
        <v>ELEB</v>
      </c>
      <c r="AI34" s="4" t="str">
        <f>_xlfn.VALUETOTEXT(SUBSTITUTE(SUBSTITUTE(tbl_DynDB_JOB_METADATA[[#This Row],[TransformationQuery]], "\n", CHAR(10)), CHAR(34), ""))</f>
        <v>Select src.* FROM SOURCE src</v>
      </c>
    </row>
    <row r="35" spans="1:35" x14ac:dyDescent="0.2">
      <c r="A35" s="21" t="s">
        <v>209</v>
      </c>
      <c r="B35" s="21" t="s">
        <v>94</v>
      </c>
      <c r="C35" s="21" t="s">
        <v>212</v>
      </c>
      <c r="D35" s="21" t="s">
        <v>62</v>
      </c>
      <c r="E35" s="21" t="s">
        <v>63</v>
      </c>
      <c r="F35" s="21" t="s">
        <v>213</v>
      </c>
      <c r="G35" s="21" t="s">
        <v>206</v>
      </c>
      <c r="H35" s="21" t="s">
        <v>66</v>
      </c>
      <c r="I35" s="21" t="s">
        <v>60</v>
      </c>
      <c r="J35" s="21" t="s">
        <v>151</v>
      </c>
      <c r="K35" s="21" t="s">
        <v>204</v>
      </c>
      <c r="L35" s="21" t="s">
        <v>205</v>
      </c>
      <c r="M35" s="20">
        <v>500</v>
      </c>
      <c r="N35" s="20">
        <v>500</v>
      </c>
      <c r="O35" s="21" t="s">
        <v>66</v>
      </c>
      <c r="P35" s="21" t="s">
        <v>151</v>
      </c>
      <c r="Q35" s="21" t="s">
        <v>63</v>
      </c>
      <c r="R35" s="21" t="s">
        <v>70</v>
      </c>
      <c r="S35" s="21" t="s">
        <v>100</v>
      </c>
      <c r="T35" s="21" t="s">
        <v>63</v>
      </c>
      <c r="U35" s="21" t="s">
        <v>62</v>
      </c>
      <c r="V35" s="21" t="s">
        <v>63</v>
      </c>
      <c r="W35" s="21" t="s">
        <v>71</v>
      </c>
      <c r="X35" s="21" t="s">
        <v>72</v>
      </c>
      <c r="Y35" s="21" t="s">
        <v>63</v>
      </c>
      <c r="Z35" s="21" t="s">
        <v>63</v>
      </c>
      <c r="AA35" s="21" t="s">
        <v>81</v>
      </c>
      <c r="AB35" s="21" t="s">
        <v>75</v>
      </c>
      <c r="AD35" t="str">
        <v>Map_FinReins</v>
      </c>
      <c r="AF35" t="str">
        <f t="shared" si="0"/>
        <v>Historical_Val_Acct_IS</v>
      </c>
      <c r="AG35" t="str">
        <f t="shared" si="1"/>
        <v>ERCC</v>
      </c>
      <c r="AI35" s="4" t="str">
        <f>_xlfn.VALUETOTEXT(SUBSTITUTE(SUBSTITUTE(tbl_DynDB_JOB_METADATA[[#This Row],[TransformationQuery]], "\n", CHAR(10)), CHAR(34), ""))</f>
        <v>Select src.* FROM SOURCE src</v>
      </c>
    </row>
    <row r="36" spans="1:35" x14ac:dyDescent="0.2">
      <c r="A36" s="21" t="s">
        <v>214</v>
      </c>
      <c r="B36" s="21" t="s">
        <v>60</v>
      </c>
      <c r="C36" s="21" t="s">
        <v>215</v>
      </c>
      <c r="D36" s="21" t="s">
        <v>62</v>
      </c>
      <c r="E36" s="21" t="s">
        <v>63</v>
      </c>
      <c r="F36" s="21" t="s">
        <v>216</v>
      </c>
      <c r="G36" s="21" t="s">
        <v>217</v>
      </c>
      <c r="H36" s="21" t="s">
        <v>66</v>
      </c>
      <c r="I36" s="21" t="s">
        <v>60</v>
      </c>
      <c r="J36" s="21" t="s">
        <v>67</v>
      </c>
      <c r="K36" s="21" t="s">
        <v>218</v>
      </c>
      <c r="L36" s="21" t="s">
        <v>219</v>
      </c>
      <c r="M36" s="20">
        <v>500</v>
      </c>
      <c r="N36" s="20">
        <v>500</v>
      </c>
      <c r="O36" s="21" t="s">
        <v>66</v>
      </c>
      <c r="P36" s="21" t="s">
        <v>67</v>
      </c>
      <c r="Q36" s="21" t="s">
        <v>62</v>
      </c>
      <c r="R36" s="21" t="s">
        <v>70</v>
      </c>
      <c r="S36" s="21" t="s">
        <v>70</v>
      </c>
      <c r="T36" s="21" t="s">
        <v>63</v>
      </c>
      <c r="U36" s="21" t="s">
        <v>62</v>
      </c>
      <c r="V36" s="21" t="s">
        <v>63</v>
      </c>
      <c r="W36" s="21" t="s">
        <v>71</v>
      </c>
      <c r="X36" s="21" t="s">
        <v>72</v>
      </c>
      <c r="Y36" s="21" t="s">
        <v>62</v>
      </c>
      <c r="Z36" s="21" t="s">
        <v>220</v>
      </c>
      <c r="AA36" s="21" t="s">
        <v>221</v>
      </c>
      <c r="AB36" s="21" t="s">
        <v>75</v>
      </c>
      <c r="AD36" t="str">
        <v>Map_InputSource</v>
      </c>
      <c r="AF36" t="str">
        <f t="shared" si="0"/>
        <v>Input_BS_Prophet_VoyaBlock_Seriatim</v>
      </c>
      <c r="AG36" t="str">
        <f t="shared" si="1"/>
        <v>EBER</v>
      </c>
      <c r="AI36" s="4" t="str">
        <f>_xlfn.VALUETOTEXT(SUBSTITUTE(SUBSTITUTE(tbl_DynDB_JOB_METADATA[[#This Row],[TransformationQuery]], "\n", CHAR(10)), CHAR(34), ""))</f>
        <v>SELECT 
  DISTINCT valuation_block, 
  input_source, 
  input_source_description, 
  input_source_meta_data, 
  TO_DATE(src.val_date, 'MM/dd/yyyy') AS val_date, 
  balance_description, 
  CAST(src.policy_count AS INTEGER) AS policy_count, 
  CAST(
    src.base_policy_db AS DECIMAL(38, 2)
  ) AS base_policy_db, 
  CAST(
    src.rider_db AS DECIMAL(38, 2)
  ) AS rider_db, 
  CAST(
    src.adb_db AS DECIMAL(38, 2)
  ) AS adb_db, 
  CAST(
    src.source_policy_count AS INTEGER
  ) AS source_policy_count, 
  CAST(
    src.source_base_policy_db AS DECIMAL(38, 2)
  ) AS source_base_policy_db, 
  CAST(
    src.source_rider_db AS DECIMAL(38, 2)
  ) AS source_rider_db, 
  CAST(
    src.source_adb_db AS DECIMAL(38, 2)
  ) AS source_adb_db, 
  CAST(
    src.ga_av AS DECIMAL(38, 2)
  ) AS ga_av, 
  CAST(
    src.sa_av AS DECIMAL(38, 2)
  ) AS sa_av, 
  CAST(
    src.ga_cv AS DECIMAL(38, 2)
  ) AS ga_cv, 
  CAST(
    src.sa_cv AS DECIMAL(38, 2)
  ) AS sa_cv, 
  CAST(
    src.shadow_av AS DECIMAL(38, 2)
  ) AS shadow_av, 
  CAST(
    src.indexed_av AS DECIMAL(38, 2)
  ) AS indexed_av, 
  CAST(
    src.fixed_av AS DECIMAL(38, 2)
  ) AS fixed_av, 
  CAST(
    src.excess_min_prem_1 AS DECIMAL(38, 2)
  ) AS excess_min_prem_1, 
  CAST(
    src.excess_min_prem_2 AS DECIMAL(38, 2)
  ) AS excess_min_prem_2, 
  CAST(
    src.excess_min_prem_3 AS DECIMAL(38, 2)
  ) AS excess_min_prem_3, 
  CAST(
    src.loan_value AS DECIMAL(38, 2)
  ) AS loan_value, 
  CAST(
    src.loan_unearned_int AS DECIMAL(38, 2)
  ) AS loan_unearned_int, 
  CAST(
    src.rlus_gaap_balance AS DECIMAL(38, 2)
  ) AS rlus_gaap_balance, 
  CAST(
    src.tpa_gaap_balance AS DECIMAL(38, 2)
  ) AS tpa_gaap_balance, 
  CAST(
    src.stat_balance AS DECIMAL(38, 2)
  ) AS stat_balance, 
  CAST(
    src.tax_balance AS DECIMAL(38, 2)
  ) AS tax_balance, 
  CAST(
    src.ny_basis_stat_balance AS DECIMAL(38, 2)
  ) AS ny_basis_stat_balance, 
  CAST(
    src.economic_balance AS DECIMAL(38, 2)
  ) AS economic_balance, 
  CAST(
    src.bma_balance AS DECIMAL(38, 2)
  ) AS bma_balance, 
  CAST(
    src.ics_balance AS DECIMAL(38, 2)
  ) AS ics_balance, 
  CAST(
    src.ifrs_balance AS DECIMAL(38, 2)
  ) AS ifrs_balance 
FROM 
  SOURCE src</v>
      </c>
    </row>
    <row r="37" spans="1:35" x14ac:dyDescent="0.2">
      <c r="A37" s="21" t="s">
        <v>222</v>
      </c>
      <c r="B37" s="21" t="s">
        <v>60</v>
      </c>
      <c r="C37" s="21" t="s">
        <v>218</v>
      </c>
      <c r="D37" s="21" t="s">
        <v>62</v>
      </c>
      <c r="E37" s="21" t="s">
        <v>77</v>
      </c>
      <c r="F37" s="21" t="s">
        <v>223</v>
      </c>
      <c r="G37" s="21" t="s">
        <v>217</v>
      </c>
      <c r="H37" s="21" t="s">
        <v>79</v>
      </c>
      <c r="I37" s="21" t="s">
        <v>63</v>
      </c>
      <c r="J37" s="21" t="s">
        <v>63</v>
      </c>
      <c r="K37" s="21" t="s">
        <v>63</v>
      </c>
      <c r="L37" s="21" t="s">
        <v>224</v>
      </c>
      <c r="M37" s="20">
        <v>500</v>
      </c>
      <c r="N37" s="20">
        <v>500</v>
      </c>
      <c r="O37" s="21" t="s">
        <v>66</v>
      </c>
      <c r="P37" s="21" t="s">
        <v>67</v>
      </c>
      <c r="Q37" s="21" t="s">
        <v>62</v>
      </c>
      <c r="R37" s="21" t="s">
        <v>70</v>
      </c>
      <c r="S37" s="21" t="s">
        <v>70</v>
      </c>
      <c r="T37" s="21" t="s">
        <v>63</v>
      </c>
      <c r="U37" s="21" t="s">
        <v>62</v>
      </c>
      <c r="V37" s="21" t="s">
        <v>63</v>
      </c>
      <c r="W37" s="21" t="s">
        <v>71</v>
      </c>
      <c r="X37" s="21" t="s">
        <v>72</v>
      </c>
      <c r="Y37" s="21" t="s">
        <v>63</v>
      </c>
      <c r="Z37" s="21" t="s">
        <v>214</v>
      </c>
      <c r="AA37" s="21" t="s">
        <v>81</v>
      </c>
      <c r="AB37" s="21" t="s">
        <v>75</v>
      </c>
      <c r="AD37" t="str">
        <v>Map_InsCode</v>
      </c>
      <c r="AF37" t="str">
        <f t="shared" si="0"/>
        <v>Input_BS_Prophet_VoyaBlock_Seriatim</v>
      </c>
      <c r="AG37" t="str">
        <f t="shared" si="1"/>
        <v>ELEB</v>
      </c>
      <c r="AI37" s="4" t="str">
        <f>_xlfn.VALUETOTEXT(SUBSTITUTE(SUBSTITUTE(tbl_DynDB_JOB_METADATA[[#This Row],[TransformationQuery]], "\n", CHAR(10)), CHAR(34), ""))</f>
        <v>Select src.* FROM SOURCE src</v>
      </c>
    </row>
    <row r="38" spans="1:35" x14ac:dyDescent="0.2">
      <c r="A38" s="21" t="s">
        <v>225</v>
      </c>
      <c r="B38" s="21" t="s">
        <v>94</v>
      </c>
      <c r="C38" s="21" t="s">
        <v>226</v>
      </c>
      <c r="D38" s="21" t="s">
        <v>62</v>
      </c>
      <c r="E38" s="21" t="s">
        <v>63</v>
      </c>
      <c r="F38" s="21" t="s">
        <v>227</v>
      </c>
      <c r="G38" s="21" t="s">
        <v>228</v>
      </c>
      <c r="H38" s="21" t="s">
        <v>66</v>
      </c>
      <c r="I38" s="21" t="s">
        <v>60</v>
      </c>
      <c r="J38" s="21" t="s">
        <v>67</v>
      </c>
      <c r="K38" s="21" t="s">
        <v>229</v>
      </c>
      <c r="L38" s="21" t="s">
        <v>230</v>
      </c>
      <c r="M38" s="20">
        <v>500</v>
      </c>
      <c r="N38" s="20">
        <v>500</v>
      </c>
      <c r="O38" s="21" t="s">
        <v>86</v>
      </c>
      <c r="P38" s="21" t="s">
        <v>67</v>
      </c>
      <c r="Q38" s="21" t="s">
        <v>62</v>
      </c>
      <c r="R38" s="21" t="s">
        <v>70</v>
      </c>
      <c r="S38" s="21" t="s">
        <v>100</v>
      </c>
      <c r="T38" s="21" t="s">
        <v>63</v>
      </c>
      <c r="U38" s="21" t="s">
        <v>62</v>
      </c>
      <c r="V38" s="21" t="s">
        <v>63</v>
      </c>
      <c r="W38" s="21" t="s">
        <v>71</v>
      </c>
      <c r="X38" s="21" t="s">
        <v>72</v>
      </c>
      <c r="Y38" s="21" t="s">
        <v>63</v>
      </c>
      <c r="Z38" s="21" t="s">
        <v>63</v>
      </c>
      <c r="AA38" s="21" t="s">
        <v>101</v>
      </c>
      <c r="AB38" s="21" t="s">
        <v>75</v>
      </c>
      <c r="AD38" t="str">
        <v>Map_LE</v>
      </c>
      <c r="AF38" t="str">
        <f t="shared" si="0"/>
        <v>Input_BS_Topsides_Merged</v>
      </c>
      <c r="AG38" t="str">
        <f t="shared" si="1"/>
        <v>EJCC</v>
      </c>
      <c r="AI38" s="4" t="str">
        <f>_xlfn.VALUETOTEXT(SUBSTITUTE(SUBSTITUTE(tbl_DynDB_JOB_METADATA[[#This Row],[TransformationQuery]], "\n", CHAR(10)), CHAR(34), ""))</f>
        <v>SELECT src.* FROM SOURCE src</v>
      </c>
    </row>
    <row r="39" spans="1:35" x14ac:dyDescent="0.2">
      <c r="A39" s="21" t="s">
        <v>231</v>
      </c>
      <c r="B39" s="21" t="s">
        <v>60</v>
      </c>
      <c r="C39" s="21" t="s">
        <v>229</v>
      </c>
      <c r="D39" s="21" t="s">
        <v>62</v>
      </c>
      <c r="E39" s="21" t="s">
        <v>63</v>
      </c>
      <c r="F39" s="21" t="s">
        <v>232</v>
      </c>
      <c r="G39" s="21" t="s">
        <v>228</v>
      </c>
      <c r="H39" s="21" t="s">
        <v>86</v>
      </c>
      <c r="I39" s="21" t="s">
        <v>60</v>
      </c>
      <c r="J39" s="21" t="s">
        <v>87</v>
      </c>
      <c r="K39" s="21" t="s">
        <v>233</v>
      </c>
      <c r="L39" s="21" t="s">
        <v>234</v>
      </c>
      <c r="M39" s="20">
        <v>500</v>
      </c>
      <c r="N39" s="20">
        <v>500</v>
      </c>
      <c r="O39" s="21" t="s">
        <v>86</v>
      </c>
      <c r="P39" s="21" t="s">
        <v>67</v>
      </c>
      <c r="Q39" s="21" t="s">
        <v>62</v>
      </c>
      <c r="R39" s="21" t="s">
        <v>70</v>
      </c>
      <c r="S39" s="21" t="s">
        <v>70</v>
      </c>
      <c r="T39" s="21" t="s">
        <v>63</v>
      </c>
      <c r="U39" s="21" t="s">
        <v>62</v>
      </c>
      <c r="V39" s="21" t="s">
        <v>63</v>
      </c>
      <c r="W39" s="21" t="s">
        <v>71</v>
      </c>
      <c r="X39" s="21" t="s">
        <v>90</v>
      </c>
      <c r="Y39" s="21" t="s">
        <v>63</v>
      </c>
      <c r="Z39" s="21" t="s">
        <v>225</v>
      </c>
      <c r="AA39" s="21" t="s">
        <v>235</v>
      </c>
      <c r="AB39" s="21" t="s">
        <v>75</v>
      </c>
      <c r="AD39" t="str">
        <v>Map_ProdType</v>
      </c>
      <c r="AF39" t="str">
        <f t="shared" si="0"/>
        <v>Input_BS_Topsides_Merged</v>
      </c>
      <c r="AG39" t="str">
        <f t="shared" si="1"/>
        <v>EREJ</v>
      </c>
      <c r="AI39" s="4" t="str">
        <f>_xlfn.VALUETOTEXT(SUBSTITUTE(SUBSTITUTE(tbl_DynDB_JOB_METADATA[[#This Row],[TransformationQuery]], "\n", CHAR(10)), CHAR(34), ""))</f>
        <v>WITH qtrlag AS ( SELECT qtr.val_date, qtr.valuation_block, qtr.balance, qtr.input_source, qtr.input_source_description, qtr.input_source_metadata, qtr.policy_count, qtr.base_policy_db, qtr.rider_db, qtr.adb_db, qtr.source_policy_count, qtr.source_base_policy_db, qtr.source_rider_db, qtr.source_adb_db, qtr.ga_av, qtr.sa_av, qtr.ga_cv, qtr.sa_cv, qtr.shadow_av, qtr.indexed_av, qtr.fixed_av, qtr.excess_min_prem_1, qtr.excess_min_prem_2, qtr.excess_min_prem_3, qtr.loan_value, qtr.loan_unearned_int, qtr.rlus_gaap_balance, qtr.tpa_gaap_balance, qtr.stat_balance, qtr.tax_balance, qtr.ny_basis_stat_balance, qtr.economic_balance, qtr.bma_balance, qtr.ics_balance, qtr.ifrs_balance FROM QTRLAGTBL qtr ), curr_val_date AS ( SELECT DISTINCT q.val_date FROM qtrlag q ), schrunoff AS ( SELECT sch.val_date, sch.valuation_block, sch.balance, sch.input_source, sch.input_source_description, sch.input_source_metadata, CAST( '0.00' AS DECIMAL(38, 0) ) AS policy_count, CAST( '0.00' AS DECIMAL(38, 2) ) AS base_policy_db, CAST( '0.00' AS DECIMAL(38, 2) ) AS rider_db, CAST( '0.00' AS DECIMAL(38, 2) ) AS adb_db, CAST( '0.00' AS DECIMAL(38, 0) ) AS source_policy_count, CAST( '0.00' AS DECIMAL(38, 2) ) AS source_base_policy_db, CAST( '0.00' AS DECIMAL(38, 2) ) AS source_rider_db, CAST( '0.00' AS DECIMAL(38, 2) ) AS source_adb_db, CAST( '0.00' AS DECIMAL(38, 2) ) AS ga_av, CAST( '0.00' AS DECIMAL(38, 2) ) AS sa_av, CAST( '0.00' AS DECIMAL(38, 2) ) AS ga_cv, CAST( '0.00' AS DECIMAL(38, 2) ) AS sa_cv, CAST( '0.00' AS DECIMAL(38, 2) ) AS shadow_av, CAST( '0.00' AS DECIMAL(38, 2) ) AS indexed_av, CAST( '0.00' AS DECIMAL(38, 2) ) AS fixed_av, CAST( '0.00' AS DECIMAL(38, 2) ) AS excess_min_prem_1, CAST( '0.00' AS DECIMAL(38, 2) ) AS excess_min_prem_2, CAST( '0.00' AS DECIMAL(38, 2) ) AS excess_min_prem_3, CAST( '0.00' AS DECIMAL(38, 2) ) AS loan_value, CAST( '0.00' AS DECIMAL(38, 2) ) AS loan_unearned_int, sch.rlus_gaap_balance, sch.tpa_gaap_balance, sch.stat_balance, sch.tax_balance, sch.ny_basis_stat_balance, sch.economic_balance, sch.bma_balance, sch.ics_balance, sch.ifrs_balance FROM SCHRUNOFFTBL sch WHERE val_date = ( SELECT curr_val_date.val_date FROM curr_val_date ) ), other AS ( SELECT othr.val_date, othr.valuation_block, othr.balance, othr.input_source, othr.input_source_description, othr.input_source_metadata, othr.policy_count, othr.base_policy_db, othr.rider_db, othr.adb_db, othr.source_policy_count, othr.source_base_policy_db, othr.source_rider_db, othr.source_adb_db, othr.ga_av, othr.sa_av, othr.ga_cv, othr.sa_cv, othr.shadow_av, othr.indexed_av, othr.fixed_av, othr.excess_min_prem_1, othr.excess_min_prem_2, othr.excess_min_prem_3, othr.loan_value, othr.loan_unearned_int, othr.rlus_gaap_balance, othr.tpa_gaap_balance, othr.stat_balance, othr.tax_balance, othr.ny_basis_stat_balance, othr.economic_balance, othr.bma_balance, othr.ics_balance, othr.ifrs_balance FROM OTHERTBL othr ), merged AS ( SELECT * FROM qtrlag UNION ALL SELECT * FROM other UNION ALL SELECT * FROM schrunoff ) SELECT DISTINCT merged.val_date, merged.valuation_block, merged.balance, merged.input_source, merged.input_source_description, merged.input_source_metadata, SUM(merged.policy_count) AS policy_count, SUM(merged.base_policy_db) AS base_policy_db, SUM(merged.rider_db) AS rider_db, SUM(merged.adb_db) AS adb_db, SUM(merged.source_policy_count) AS source_policy_count, SUM(merged.source_base_policy_db) AS source_base_policy_db, SUM(merged.source_rider_db) AS source_rider_db, SUM(merged.source_adb_db) AS source_adb_db, SUM(merged.ga_av) AS ga_av, SUM(merged.sa_av) AS sa_av, SUM(merged.ga_cv) AS ga_cv, SUM(merged.sa_cv) AS sa_cv, SUM(merged.shadow_av) AS shadow_av, SUM(merged.indexed_av) AS indexed_av, SUM(merged.fixed_av) AS fixed_av, SUM(merged.excess_min_prem_1) AS excess_min_prem_1, SUM(merged.excess_min_prem_2) AS excess_min_prem_2, SUM(merged.excess_min_prem_3) AS excess_min_prem_3, SUM(merged.loan_value) AS loan_value, SUM(merged.loan_unearned_int) AS loan_unearned_int, SUM(merged.rlus_gaap_balance) AS rlus_gaap_balance, SUM(merged.tpa_gaap_balance) AS tpa_gaap_balance, SUM(merged.stat_balance) AS stat_balance, SUM(merged.tax_balance) AS tax_balance, SUM(merged.ny_basis_stat_balance) AS ny_basis_stat_balance, SUM(merged.economic_balance) AS economic_balance, SUM(merged.bma_balance) AS bma_balance, SUM(merged.ics_balance) AS ics_balance, SUM(ifrs_balance) AS ifrs_balance FROM merged GROUP BY merged.val_date, merged.valuation_block, merged.balance, merged.input_source, merged.input_source_description, merged.input_source_metadata ORDER BY merged.val_date, merged.input_source, merged.valuation_block, merged.balance</v>
      </c>
    </row>
    <row r="40" spans="1:35" x14ac:dyDescent="0.2">
      <c r="A40" s="21" t="s">
        <v>236</v>
      </c>
      <c r="B40" s="21" t="s">
        <v>60</v>
      </c>
      <c r="C40" s="21" t="s">
        <v>237</v>
      </c>
      <c r="D40" s="21" t="s">
        <v>62</v>
      </c>
      <c r="E40" s="21" t="s">
        <v>63</v>
      </c>
      <c r="F40" s="21" t="s">
        <v>238</v>
      </c>
      <c r="G40" s="21" t="s">
        <v>239</v>
      </c>
      <c r="H40" s="21" t="s">
        <v>66</v>
      </c>
      <c r="I40" s="21" t="s">
        <v>60</v>
      </c>
      <c r="J40" s="21" t="s">
        <v>67</v>
      </c>
      <c r="K40" s="21" t="s">
        <v>240</v>
      </c>
      <c r="L40" s="21" t="s">
        <v>241</v>
      </c>
      <c r="M40" s="20">
        <v>500</v>
      </c>
      <c r="N40" s="20">
        <v>500</v>
      </c>
      <c r="O40" s="21" t="s">
        <v>66</v>
      </c>
      <c r="P40" s="21" t="s">
        <v>67</v>
      </c>
      <c r="Q40" s="21" t="s">
        <v>62</v>
      </c>
      <c r="R40" s="21" t="s">
        <v>70</v>
      </c>
      <c r="S40" s="21" t="s">
        <v>70</v>
      </c>
      <c r="T40" s="21" t="s">
        <v>63</v>
      </c>
      <c r="U40" s="21" t="s">
        <v>62</v>
      </c>
      <c r="V40" s="21" t="s">
        <v>63</v>
      </c>
      <c r="W40" s="21" t="s">
        <v>71</v>
      </c>
      <c r="X40" s="21" t="s">
        <v>72</v>
      </c>
      <c r="Y40" s="21" t="s">
        <v>62</v>
      </c>
      <c r="Z40" s="21" t="s">
        <v>231</v>
      </c>
      <c r="AA40" s="21" t="s">
        <v>242</v>
      </c>
      <c r="AB40" s="21" t="s">
        <v>75</v>
      </c>
      <c r="AD40" t="str">
        <v>Map_Product</v>
      </c>
      <c r="AF40" t="str">
        <f t="shared" si="0"/>
        <v>Input_BS_Topsides_Othr</v>
      </c>
      <c r="AG40" t="str">
        <f t="shared" si="1"/>
        <v>EBER</v>
      </c>
      <c r="AI40" s="4" t="str">
        <f>_xlfn.VALUETOTEXT(SUBSTITUTE(SUBSTITUTE(tbl_DynDB_JOB_METADATA[[#This Row],[TransformationQuery]], "\n", CHAR(10)), CHAR(34), ""))</f>
        <v xml:space="preserve">SELECT DISTINCT 
  CAST(src.val_date AS DATE) AS val_date, 
  src.valuation_block, 
  src.balance, 
  src.input_source, 
  src.input_source_description,
  src.input_source_metadata, 
  CAST(
    src.policy_count AS DECIMAL(38, 0)
  ) AS policy_count, 
  CAST(
    src.base_policy_db AS DECIMAL(38, 2)
  ) AS base_policy_db, 
  CAST(
    src.rider_db AS DECIMAL(38, 2)
  ) AS rider_db, 
  CAST(
    src.adb_db AS DECIMAL(38, 2)
  ) AS adb_db, 
  CAST(
    src.source_policy_count AS DECIMAL(38, 0)
  ) AS source_policy_count, 
  CAST(
    src.source_base_policy_db AS DECIMAL(38, 2)
  ) AS source_base_policy_db, 
  CAST(
    src.source_rider_db AS DECIMAL(38, 2)
  ) AS source_rider_db, 
  CAST(
    src.source_adb_db AS DECIMAL(38, 2)
  ) AS source_adb_db, 
  CAST(
    src.ga_av AS DECIMAL(38, 2)
  ) AS ga_av, 
  CAST(
    src.sa_av AS DECIMAL(38, 2)
  ) AS sa_av, 
  CAST(
    src.ga_cv AS DECIMAL(38, 2)
  ) AS ga_cv, 
  CAST(
    src.sa_cv AS DECIMAL(38, 2)
  ) AS sa_cv, 
  CAST(
    src.shadow_av AS DECIMAL(38, 2)
  ) AS shadow_av, 
  CAST(
    src.indexed_av AS DECIMAL(38, 2)
  ) AS indexed_av, 
  CAST(
    src.fixed_av AS DECIMAL(38, 2)
  ) AS fixed_av, 
  CAST(
    src.excess_min_prem_1 AS DECIMAL(38, 2)
  ) AS excess_min_prem_1, 
  CAST(
    src.excess_min_prem_2 AS DECIMAL(38, 2)
  ) AS excess_min_prem_2, 
  CAST(
    src.excess_min_prem_3 AS DECIMAL(38, 2)
  ) AS excess_min_prem_3, 
  CAST(
    src.loan_value AS DECIMAL(38, 2)
  ) AS loan_value, 
  CAST(
    src.loan_unearned_int AS DECIMAL(38, 2)
  ) AS loan_unearned_int, 
  CAST(
    src.rlus_gaap_balance AS DECIMAL(38, 2)
  ) AS rlus_gaap_balance, 
  CAST(
    src.tpa_gaap_balance AS DECIMAL(38, 2)
  ) AS tpa_gaap_balance, 
  CAST(
    src.stat_balance AS DECIMAL(38, 2)
  ) AS stat_balance, 
  CAST(
    src.tax_balance AS DECIMAL(38, 2)
  ) AS tax_balance, 
  CAST(
    src.ny_basis_stat_balance AS DECIMAL(38, 2)
  ) AS ny_basis_stat_balance, 
  CAST(
    src.economic_balance AS DECIMAL(38, 2)
  ) AS economic_balance, 
  CAST(
    src.bma_balance AS DECIMAL(38, 2)
  ) AS bma_balance, 
  CAST(
    src.ics_balance AS DECIMAL(38, 2)
  ) AS ics_balance, 
  CAST(
    src.ifrs_balance AS DECIMAL(38, 2)
  ) AS ifrs_balance 
FROM 
  SOURCE src
</v>
      </c>
    </row>
    <row r="41" spans="1:35" x14ac:dyDescent="0.2">
      <c r="A41" s="21" t="s">
        <v>243</v>
      </c>
      <c r="B41" s="21" t="s">
        <v>60</v>
      </c>
      <c r="C41" s="21" t="s">
        <v>240</v>
      </c>
      <c r="D41" s="21" t="s">
        <v>62</v>
      </c>
      <c r="E41" s="21" t="s">
        <v>77</v>
      </c>
      <c r="F41" s="21" t="s">
        <v>244</v>
      </c>
      <c r="G41" s="21" t="s">
        <v>239</v>
      </c>
      <c r="H41" s="21" t="s">
        <v>79</v>
      </c>
      <c r="I41" s="21" t="s">
        <v>63</v>
      </c>
      <c r="J41" s="21" t="s">
        <v>63</v>
      </c>
      <c r="K41" s="21" t="s">
        <v>63</v>
      </c>
      <c r="L41" s="21" t="s">
        <v>245</v>
      </c>
      <c r="M41" s="20">
        <v>500</v>
      </c>
      <c r="N41" s="20">
        <v>500</v>
      </c>
      <c r="O41" s="21" t="s">
        <v>66</v>
      </c>
      <c r="P41" s="21" t="s">
        <v>67</v>
      </c>
      <c r="Q41" s="21" t="s">
        <v>62</v>
      </c>
      <c r="R41" s="21" t="s">
        <v>70</v>
      </c>
      <c r="S41" s="21" t="s">
        <v>70</v>
      </c>
      <c r="T41" s="21" t="s">
        <v>63</v>
      </c>
      <c r="U41" s="21" t="s">
        <v>62</v>
      </c>
      <c r="V41" s="21" t="s">
        <v>63</v>
      </c>
      <c r="W41" s="21" t="s">
        <v>71</v>
      </c>
      <c r="X41" s="21" t="s">
        <v>72</v>
      </c>
      <c r="Y41" s="21" t="s">
        <v>63</v>
      </c>
      <c r="Z41" s="21" t="s">
        <v>236</v>
      </c>
      <c r="AA41" s="21" t="s">
        <v>81</v>
      </c>
      <c r="AB41" s="21" t="s">
        <v>75</v>
      </c>
      <c r="AD41" t="str">
        <v>Map_Reported</v>
      </c>
      <c r="AF41" t="str">
        <f t="shared" si="0"/>
        <v>Input_BS_Topsides_Othr</v>
      </c>
      <c r="AG41" t="str">
        <f t="shared" si="1"/>
        <v>ELEB</v>
      </c>
      <c r="AI41" s="4" t="str">
        <f>_xlfn.VALUETOTEXT(SUBSTITUTE(SUBSTITUTE(tbl_DynDB_JOB_METADATA[[#This Row],[TransformationQuery]], "\n", CHAR(10)), CHAR(34), ""))</f>
        <v>Select src.* FROM SOURCE src</v>
      </c>
    </row>
    <row r="42" spans="1:35" x14ac:dyDescent="0.2">
      <c r="A42" s="21" t="s">
        <v>246</v>
      </c>
      <c r="B42" s="21" t="s">
        <v>60</v>
      </c>
      <c r="C42" s="21" t="s">
        <v>247</v>
      </c>
      <c r="D42" s="21" t="s">
        <v>62</v>
      </c>
      <c r="E42" s="21" t="s">
        <v>63</v>
      </c>
      <c r="F42" s="21" t="s">
        <v>248</v>
      </c>
      <c r="G42" s="21" t="s">
        <v>249</v>
      </c>
      <c r="H42" s="21" t="s">
        <v>66</v>
      </c>
      <c r="I42" s="21" t="s">
        <v>60</v>
      </c>
      <c r="J42" s="21" t="s">
        <v>67</v>
      </c>
      <c r="K42" s="21" t="s">
        <v>250</v>
      </c>
      <c r="L42" s="21" t="s">
        <v>251</v>
      </c>
      <c r="M42" s="20">
        <v>500</v>
      </c>
      <c r="N42" s="20">
        <v>500</v>
      </c>
      <c r="O42" s="21" t="s">
        <v>66</v>
      </c>
      <c r="P42" s="21" t="s">
        <v>67</v>
      </c>
      <c r="Q42" s="21" t="s">
        <v>62</v>
      </c>
      <c r="R42" s="21" t="s">
        <v>70</v>
      </c>
      <c r="S42" s="21" t="s">
        <v>70</v>
      </c>
      <c r="T42" s="21" t="s">
        <v>63</v>
      </c>
      <c r="U42" s="21" t="s">
        <v>62</v>
      </c>
      <c r="V42" s="21" t="s">
        <v>63</v>
      </c>
      <c r="W42" s="21" t="s">
        <v>71</v>
      </c>
      <c r="X42" s="21" t="s">
        <v>72</v>
      </c>
      <c r="Y42" s="21" t="s">
        <v>62</v>
      </c>
      <c r="Z42" s="21" t="s">
        <v>102</v>
      </c>
      <c r="AA42" s="21" t="s">
        <v>252</v>
      </c>
      <c r="AB42" s="21" t="s">
        <v>75</v>
      </c>
      <c r="AD42" t="str">
        <v>Map_Segment</v>
      </c>
      <c r="AF42" t="str">
        <f t="shared" si="0"/>
        <v>Input_BS_Topsides_QtrLag_Actuals</v>
      </c>
      <c r="AG42" t="str">
        <f t="shared" si="1"/>
        <v>EBER</v>
      </c>
      <c r="AI42" s="4" t="str">
        <f>_xlfn.VALUETOTEXT(SUBSTITUTE(SUBSTITUTE(tbl_DynDB_JOB_METADATA[[#This Row],[TransformationQuery]], "\n", CHAR(10)), CHAR(34), ""))</f>
        <v xml:space="preserve">SELECT DISTINCT 
  CAST(
	src.val_date AS DATE
  ) AS val_date, 
  src.valuation_block, 
  src.balance, 
  src.input_source, 
  src.input_source_description, 
  src.input_source_metadata, 
  CAST(
    src.policy_count AS DECIMAL(38, 0)
  ) AS policy_count, 
  CAST(
    src.base_policy_db AS DECIMAL(38, 2)
  ) AS base_policy_db, 
  CAST(
    src.rider_db AS DECIMAL(38, 2)
  ) AS rider_db, 
  CAST(
    src.adb_db AS DECIMAL(38, 2)
  ) AS adb_db, 
  CAST(
    src.source_policy_count AS DECIMAL(38, 0)
  ) AS source_policy_count, 
  CAST(
    src.source_base_policy_db AS DECIMAL(38, 0)
  ) AS source_base_policy_db, 
  CAST(
    src.source_rider_db AS DECIMAL(38, 2)
  ) AS source_rider_db, 
  CAST(
    src.source_adb_db AS DECIMAL(38, 2)
  ) AS source_adb_db, 
  CAST(
    src.ga_av AS DECIMAL(38, 2)
  ) AS ga_av, 
  CAST(
    src.sa_av AS DECIMAL(38, 2)
  ) AS sa_av, 
  CAST(
    src.ga_cv AS DECIMAL(38, 2)
  ) AS ga_cv, 
  CAST(
    src.sa_cv AS DECIMAL(38, 2)
  ) AS sa_cv, 
  CAST(
    src.shadow_av AS DECIMAL(38, 2)
  ) AS shadow_av, 
  CAST(
    src.indexed_av AS DECIMAL(38, 2)
  ) AS indexed_av, 
  CAST(
    src.fixed_av AS DECIMAL(38, 2)
  ) AS fixed_av, 
  CAST(
    src.excess_min_prem_1 AS DECIMAL(38, 2)
  ) AS excess_min_prem_1, 
  CAST(
    src.excess_min_prem_2 AS DECIMAL(38, 2)
  ) AS excess_min_prem_2, 
  CAST(
    src.excess_min_prem_3 AS DECIMAL(38, 2)
  ) AS excess_min_prem_3, 
  CAST(
    src.loan_value AS DECIMAL(38, 2)
  ) AS loan_value, 
  CAST(
    src.loan_unearned_int AS DECIMAL(38, 2)
  ) AS loan_unearned_int, 
  CAST(
    src.rlus_gaap_balance AS DECIMAL(38, 2)
  ) AS rlus_gaap_balance, 
  CAST(
    src.tpa_gaap_balance AS DECIMAL(38, 2)
  ) AS tpa_gaap_balance, 
  CAST(
    src.stat_balance AS DECIMAL(38, 2)
  ) AS stat_balance, 
  CAST(
    src.tax_balance AS DECIMAL(38, 2)
  ) AS tax_balance, 
  CAST(
    src.ny_basis_stat_balance AS DECIMAL(38, 2)
  ) AS ny_basis_stat_balance, 
  CAST(
    src.economic_balance AS DECIMAL(38, 2)
  ) AS economic_balance, 
  CAST(
    src.bma_balance AS DECIMAL(38, 2)
  ) AS bma_balance, 
  CAST(
    src.ics_balance AS DECIMAL(38, 2)
  ) AS ics_balance, 
  CAST(
    src.ifrs_balance AS DECIMAL(38, 2)
  ) AS ifrs_balance 
FROM 
  SOURCE src
</v>
      </c>
    </row>
    <row r="43" spans="1:35" x14ac:dyDescent="0.2">
      <c r="A43" s="21" t="s">
        <v>253</v>
      </c>
      <c r="B43" s="21" t="s">
        <v>60</v>
      </c>
      <c r="C43" s="21" t="s">
        <v>250</v>
      </c>
      <c r="D43" s="21" t="s">
        <v>62</v>
      </c>
      <c r="E43" s="21" t="s">
        <v>77</v>
      </c>
      <c r="F43" s="21" t="s">
        <v>254</v>
      </c>
      <c r="G43" s="21" t="s">
        <v>249</v>
      </c>
      <c r="H43" s="21" t="s">
        <v>79</v>
      </c>
      <c r="I43" s="21" t="s">
        <v>63</v>
      </c>
      <c r="J43" s="21" t="s">
        <v>63</v>
      </c>
      <c r="K43" s="21" t="s">
        <v>63</v>
      </c>
      <c r="L43" s="21" t="s">
        <v>255</v>
      </c>
      <c r="M43" s="20">
        <v>500</v>
      </c>
      <c r="N43" s="20">
        <v>500</v>
      </c>
      <c r="O43" s="21" t="s">
        <v>66</v>
      </c>
      <c r="P43" s="21" t="s">
        <v>67</v>
      </c>
      <c r="Q43" s="21" t="s">
        <v>62</v>
      </c>
      <c r="R43" s="21" t="s">
        <v>70</v>
      </c>
      <c r="S43" s="21" t="s">
        <v>70</v>
      </c>
      <c r="T43" s="21" t="s">
        <v>63</v>
      </c>
      <c r="U43" s="21" t="s">
        <v>62</v>
      </c>
      <c r="V43" s="21" t="s">
        <v>63</v>
      </c>
      <c r="W43" s="21" t="s">
        <v>71</v>
      </c>
      <c r="X43" s="21" t="s">
        <v>72</v>
      </c>
      <c r="Y43" s="21" t="s">
        <v>63</v>
      </c>
      <c r="Z43" s="21" t="s">
        <v>246</v>
      </c>
      <c r="AA43" s="21" t="s">
        <v>81</v>
      </c>
      <c r="AB43" s="21" t="s">
        <v>75</v>
      </c>
      <c r="AD43" t="str">
        <v>Map_Source_Balance</v>
      </c>
      <c r="AF43" t="str">
        <f t="shared" si="0"/>
        <v>Input_BS_Topsides_QtrLag_Actuals</v>
      </c>
      <c r="AG43" t="str">
        <f t="shared" si="1"/>
        <v>ELEB</v>
      </c>
      <c r="AI43" s="4" t="str">
        <f>_xlfn.VALUETOTEXT(SUBSTITUTE(SUBSTITUTE(tbl_DynDB_JOB_METADATA[[#This Row],[TransformationQuery]], "\n", CHAR(10)), CHAR(34), ""))</f>
        <v>Select src.* FROM SOURCE src</v>
      </c>
    </row>
    <row r="44" spans="1:35" x14ac:dyDescent="0.2">
      <c r="A44" s="21" t="s">
        <v>256</v>
      </c>
      <c r="B44" s="21" t="s">
        <v>60</v>
      </c>
      <c r="C44" s="21" t="s">
        <v>257</v>
      </c>
      <c r="D44" s="21" t="s">
        <v>62</v>
      </c>
      <c r="E44" s="21" t="s">
        <v>63</v>
      </c>
      <c r="F44" s="21" t="s">
        <v>258</v>
      </c>
      <c r="G44" s="21" t="s">
        <v>259</v>
      </c>
      <c r="H44" s="21" t="s">
        <v>66</v>
      </c>
      <c r="I44" s="21" t="s">
        <v>60</v>
      </c>
      <c r="J44" s="21" t="s">
        <v>67</v>
      </c>
      <c r="K44" s="21" t="s">
        <v>260</v>
      </c>
      <c r="L44" s="21" t="s">
        <v>261</v>
      </c>
      <c r="M44" s="20">
        <v>500</v>
      </c>
      <c r="N44" s="20">
        <v>500</v>
      </c>
      <c r="O44" s="21" t="s">
        <v>66</v>
      </c>
      <c r="P44" s="21" t="s">
        <v>67</v>
      </c>
      <c r="Q44" s="21" t="s">
        <v>62</v>
      </c>
      <c r="R44" s="21" t="s">
        <v>70</v>
      </c>
      <c r="S44" s="21" t="s">
        <v>70</v>
      </c>
      <c r="T44" s="21" t="s">
        <v>63</v>
      </c>
      <c r="U44" s="21" t="s">
        <v>62</v>
      </c>
      <c r="V44" s="21" t="s">
        <v>63</v>
      </c>
      <c r="W44" s="21" t="s">
        <v>71</v>
      </c>
      <c r="X44" s="21" t="s">
        <v>72</v>
      </c>
      <c r="Y44" s="21" t="s">
        <v>62</v>
      </c>
      <c r="Z44" s="21" t="s">
        <v>73</v>
      </c>
      <c r="AA44" s="21" t="s">
        <v>262</v>
      </c>
      <c r="AB44" s="21" t="s">
        <v>75</v>
      </c>
      <c r="AD44" t="str">
        <v>Map_SubDeal</v>
      </c>
      <c r="AF44" t="str">
        <f t="shared" si="0"/>
        <v>Input_BS_Topsides_QtrLag</v>
      </c>
      <c r="AG44" t="str">
        <f t="shared" si="1"/>
        <v>EBER</v>
      </c>
      <c r="AI44" s="4" t="str">
        <f>_xlfn.VALUETOTEXT(SUBSTITUTE(SUBSTITUTE(tbl_DynDB_JOB_METADATA[[#This Row],[TransformationQuery]], "\n", CHAR(10)), CHAR(34), ""))</f>
        <v xml:space="preserve">SELECT DISTINCT 
  CAST(
    src.val_date AS DATE
  ) AS val_date, 
  src.valuation_block, 
  src.balance, 
  src.input_source, 
  src.input_source_description,
  src.input_source_metadata, 
  CAST(
    src.policy_count AS DECIMAL(38, 0)
  ) AS policy_count, 
  CAST(
    src.base_policy_db AS DECIMAL(38, 2)
  ) AS base_policy_db, 
  CAST(
    src.rider_db AS DECIMAL(38, 2)
  ) AS rider_db, 
  CAST(
    src.adb_db AS DECIMAL(38, 2)
  ) AS adb_db, 
  CAST(
    src.source_policy_count AS DECIMAL(38, 0)
  ) AS source_policy_count, 
  CAST(
    src.source_base_policy_db AS DECIMAL(38, 2)
  ) AS source_base_policy_db, 
  CAST(
    src.source_rider_db AS DECIMAL(38, 2)
  ) AS source_rider_db, 
  CAST(
    src.source_adb_db AS DECIMAL(38, 2)
  ) AS source_adb_db, 
  CAST(
    src.ga_av AS DECIMAL(38, 2)
  ) AS ga_av, 
  CAST(
    src.sa_av AS DECIMAL(38, 2)
  ) AS sa_av, 
  CAST(
    src.ga_cv AS DECIMAL(38, 2)
  ) AS ga_cv, 
  CAST(
    src.sa_cv AS DECIMAL(38, 2)
  ) AS sa_cv, 
  CAST(
    src.shadow_av AS DECIMAL(38, 2)
  ) AS shadow_av, 
  CAST(
    src.indexed_av AS DECIMAL(38, 2)
  ) AS indexed_av, 
  CAST(
    src.fixed_av AS DECIMAL(38, 2)
  ) AS fixed_av, 
  CAST(
    src.excess_min_prem_1 AS DECIMAL(38, 2)
  ) AS excess_min_prem_1, 
  CAST(
    src.excess_min_prem_2 AS DECIMAL(38, 2)
  ) AS excess_min_prem_2, 
  CAST(
    src.excess_min_prem_3 AS DECIMAL(38, 2)
  ) AS excess_min_prem_3, 
  CAST(
    src.loan_value AS DECIMAL(38, 2)
  ) AS loan_value, 
  CAST(
    src.loan_unearned_int AS DECIMAL(38, 2)
  ) AS loan_unearned_int, 
  CAST(
    src.rlus_gaap_balance AS DECIMAL(38, 2)
  ) AS rlus_gaap_balance, 
  CAST(
    src.tpa_gaap_balance AS DECIMAL(38, 2)
  ) AS tpa_gaap_balance, 
  CAST(
    src.stat_balance AS DECIMAL(38, 2)
  ) AS stat_balance, 
  CAST(
    src.tax_balance AS DECIMAL(38, 2)
  ) AS tax_balance, 
  CAST(
    src.ny_basis_stat_balance AS DECIMAL(38, 2)
  ) AS ny_basis_stat_balance, 
  CAST(
    src.economic_balance AS DECIMAL(38, 2)
  ) AS economic_balance, 
  CAST(
    src.bma_balance AS DECIMAL(38, 2)
  ) AS bma_balance, 
  CAST(
    src.ics_balance AS DECIMAL(38, 2)
  ) AS ics_balance, 
  CAST(
    src.ifrs_balance AS DECIMAL(38, 2)
  ) AS ifrs_balance 
FROM 
  SOURCE src
</v>
      </c>
    </row>
    <row r="45" spans="1:35" x14ac:dyDescent="0.2">
      <c r="A45" s="21" t="s">
        <v>263</v>
      </c>
      <c r="B45" s="21" t="s">
        <v>60</v>
      </c>
      <c r="C45" s="21" t="s">
        <v>260</v>
      </c>
      <c r="D45" s="21" t="s">
        <v>62</v>
      </c>
      <c r="E45" s="21" t="s">
        <v>77</v>
      </c>
      <c r="F45" s="21" t="s">
        <v>264</v>
      </c>
      <c r="G45" s="21" t="s">
        <v>259</v>
      </c>
      <c r="H45" s="21" t="s">
        <v>79</v>
      </c>
      <c r="I45" s="21" t="s">
        <v>63</v>
      </c>
      <c r="J45" s="21" t="s">
        <v>63</v>
      </c>
      <c r="K45" s="21" t="s">
        <v>63</v>
      </c>
      <c r="L45" s="21" t="s">
        <v>265</v>
      </c>
      <c r="M45" s="20">
        <v>500</v>
      </c>
      <c r="N45" s="20">
        <v>500</v>
      </c>
      <c r="O45" s="21" t="s">
        <v>66</v>
      </c>
      <c r="P45" s="21" t="s">
        <v>67</v>
      </c>
      <c r="Q45" s="21" t="s">
        <v>62</v>
      </c>
      <c r="R45" s="21" t="s">
        <v>70</v>
      </c>
      <c r="S45" s="21" t="s">
        <v>70</v>
      </c>
      <c r="T45" s="21" t="s">
        <v>63</v>
      </c>
      <c r="U45" s="21" t="s">
        <v>62</v>
      </c>
      <c r="V45" s="21" t="s">
        <v>63</v>
      </c>
      <c r="W45" s="21" t="s">
        <v>71</v>
      </c>
      <c r="X45" s="21" t="s">
        <v>72</v>
      </c>
      <c r="Y45" s="21" t="s">
        <v>63</v>
      </c>
      <c r="Z45" s="21" t="s">
        <v>256</v>
      </c>
      <c r="AA45" s="21" t="s">
        <v>81</v>
      </c>
      <c r="AB45" s="21" t="s">
        <v>75</v>
      </c>
      <c r="AD45" t="str">
        <v>Map_SummaryCombos</v>
      </c>
      <c r="AF45" t="str">
        <f t="shared" si="0"/>
        <v>Input_BS_Topsides_QtrLag</v>
      </c>
      <c r="AG45" t="str">
        <f t="shared" si="1"/>
        <v>ELEB</v>
      </c>
      <c r="AI45" s="4" t="str">
        <f>_xlfn.VALUETOTEXT(SUBSTITUTE(SUBSTITUTE(tbl_DynDB_JOB_METADATA[[#This Row],[TransformationQuery]], "\n", CHAR(10)), CHAR(34), ""))</f>
        <v>Select src.* FROM SOURCE src</v>
      </c>
    </row>
    <row r="46" spans="1:35" x14ac:dyDescent="0.2">
      <c r="A46" s="21" t="s">
        <v>73</v>
      </c>
      <c r="B46" s="21" t="s">
        <v>60</v>
      </c>
      <c r="C46" s="21" t="s">
        <v>266</v>
      </c>
      <c r="D46" s="21" t="s">
        <v>62</v>
      </c>
      <c r="E46" s="21" t="s">
        <v>63</v>
      </c>
      <c r="F46" s="21" t="s">
        <v>267</v>
      </c>
      <c r="G46" s="21" t="s">
        <v>268</v>
      </c>
      <c r="H46" s="21" t="s">
        <v>86</v>
      </c>
      <c r="I46" s="21" t="s">
        <v>60</v>
      </c>
      <c r="J46" s="21" t="s">
        <v>105</v>
      </c>
      <c r="K46" s="21" t="s">
        <v>269</v>
      </c>
      <c r="L46" s="21" t="s">
        <v>270</v>
      </c>
      <c r="M46" s="20">
        <v>500</v>
      </c>
      <c r="N46" s="20">
        <v>500</v>
      </c>
      <c r="O46" s="21" t="s">
        <v>66</v>
      </c>
      <c r="P46" s="21" t="s">
        <v>67</v>
      </c>
      <c r="Q46" s="21" t="s">
        <v>62</v>
      </c>
      <c r="R46" s="21" t="s">
        <v>70</v>
      </c>
      <c r="S46" s="21" t="s">
        <v>70</v>
      </c>
      <c r="T46" s="21" t="s">
        <v>63</v>
      </c>
      <c r="U46" s="21" t="s">
        <v>62</v>
      </c>
      <c r="V46" s="21" t="s">
        <v>63</v>
      </c>
      <c r="W46" s="21" t="s">
        <v>71</v>
      </c>
      <c r="X46" s="21" t="s">
        <v>271</v>
      </c>
      <c r="Y46" s="21" t="s">
        <v>62</v>
      </c>
      <c r="Z46" s="21" t="s">
        <v>82</v>
      </c>
      <c r="AA46" s="21" t="s">
        <v>272</v>
      </c>
      <c r="AB46" s="21" t="s">
        <v>75</v>
      </c>
      <c r="AD46" t="str">
        <v>Map_Topside_Approach</v>
      </c>
      <c r="AF46" t="str">
        <f t="shared" si="0"/>
        <v>Input_BS_Topsides_SchRunOff_Filtered</v>
      </c>
      <c r="AG46" t="str">
        <f t="shared" si="1"/>
        <v>ERER</v>
      </c>
      <c r="AI46" s="4" t="str">
        <f>_xlfn.VALUETOTEXT(SUBSTITUTE(SUBSTITUTE(tbl_DynDB_JOB_METADATA[[#This Row],[TransformationQuery]], "\n", CHAR(10)), CHAR(34), ""))</f>
        <v xml:space="preserve">WITH curr_val_date AS (
  SELECT 
    DISTINCT MAX(qtr.val_date) val_date 
  FROM 
    QTRLAG qtr
) 
SELECT 
  sch.val_date, 
  sch.valuation_block, 
  sch.balance, 
  sch.input_source, 
  sch.input_source_description, 
  sch.input_source_metadata, 
  CAST(
    '0.00' AS DECIMAL(38, 0)
  ) AS policy_count, 
  CAST(
    '0.00' AS DECIMAL(38, 2)
  ) AS base_policy_db, 
  CAST(
    '0.00' AS DECIMAL(38, 2)
  ) AS rider_db, 
  CAST(
    '0.00' AS DECIMAL(38, 2)
  ) AS adb_db, 
  CAST(
    '0.00' AS DECIMAL(38, 0)
  ) AS source_policy_count, 
  CAST(
    '0.00' AS DECIMAL(38, 2)
  ) AS source_base_policy_db, 
  CAST(
    '0.00' AS DECIMAL(38, 2)
  ) AS source_rider_db, 
  CAST(
    '0.00' AS DECIMAL(38, 2)
  ) AS source_adb_db, 
  CAST(
    '0.00' AS DECIMAL(38, 2)
  ) AS ga_av, 
  CAST(
    '0.00' AS DECIMAL(38, 2)
  ) AS sa_av, 
  CAST(
    '0.00' AS DECIMAL(38, 2)
  ) AS ga_cv, 
  CAST(
    '0.00' AS DECIMAL(38, 2)
  ) AS sa_cv, 
  CAST(
    '0.00' AS DECIMAL(38, 2)
  ) AS shadow_av, 
  CAST(
    '0.00' AS DECIMAL(38, 2)
  ) AS indexed_av, 
  CAST(
    '0.00' AS DECIMAL(38, 2)
  ) AS fixed_av, 
  CAST(
    '0.00' AS DECIMAL(38, 2)
  ) AS excess_min_prem_1, 
  CAST(
    '0.00' AS DECIMAL(38, 2)
  ) AS excess_min_prem_2, 
  CAST(
    '0.00' AS DECIMAL(38, 2)
  ) AS excess_min_prem_3, 
  CAST(
    '0.00' AS DECIMAL(38, 2)
  ) AS loan_value, 
  CAST(
    '0.00' AS DECIMAL(38, 2)
  ) AS loan_unearned_int, 
  sch.rlus_gaap_balance, 
  sch.tpa_gaap_balance, 
  sch.stat_balance, 
  sch.tax_balance, 
  sch.ny_basis_stat_balance, 
  sch.economic_balance, 
  sch.bma_balance, 
  sch.ics_balance, 
  sch.ifrs_balance 
FROM 
  BASE sch 
WHERE 
  val_date = (
    SELECT 
      curr_val_date.val_date 
    FROM 
      curr_val_date
  )
</v>
      </c>
    </row>
    <row r="47" spans="1:35" x14ac:dyDescent="0.2">
      <c r="A47" s="21" t="s">
        <v>273</v>
      </c>
      <c r="B47" s="21" t="s">
        <v>60</v>
      </c>
      <c r="C47" s="21" t="s">
        <v>274</v>
      </c>
      <c r="D47" s="21" t="s">
        <v>62</v>
      </c>
      <c r="E47" s="21" t="s">
        <v>63</v>
      </c>
      <c r="F47" s="21" t="s">
        <v>275</v>
      </c>
      <c r="G47" s="21" t="s">
        <v>276</v>
      </c>
      <c r="H47" s="21" t="s">
        <v>66</v>
      </c>
      <c r="I47" s="21" t="s">
        <v>60</v>
      </c>
      <c r="J47" s="21" t="s">
        <v>67</v>
      </c>
      <c r="K47" s="21" t="s">
        <v>277</v>
      </c>
      <c r="L47" s="21" t="s">
        <v>278</v>
      </c>
      <c r="M47" s="20">
        <v>500</v>
      </c>
      <c r="N47" s="20">
        <v>500</v>
      </c>
      <c r="O47" s="21" t="s">
        <v>66</v>
      </c>
      <c r="P47" s="21" t="s">
        <v>67</v>
      </c>
      <c r="Q47" s="21" t="s">
        <v>62</v>
      </c>
      <c r="R47" s="21" t="s">
        <v>70</v>
      </c>
      <c r="S47" s="21" t="s">
        <v>70</v>
      </c>
      <c r="T47" s="21" t="s">
        <v>63</v>
      </c>
      <c r="U47" s="21" t="s">
        <v>62</v>
      </c>
      <c r="V47" s="21" t="s">
        <v>63</v>
      </c>
      <c r="W47" s="21" t="s">
        <v>71</v>
      </c>
      <c r="X47" s="21" t="s">
        <v>72</v>
      </c>
      <c r="Y47" s="21" t="s">
        <v>62</v>
      </c>
      <c r="Z47" s="21" t="s">
        <v>231</v>
      </c>
      <c r="AA47" s="21" t="s">
        <v>74</v>
      </c>
      <c r="AB47" s="21" t="s">
        <v>75</v>
      </c>
      <c r="AD47" t="str">
        <v>Map_Topside_Group</v>
      </c>
      <c r="AF47" t="str">
        <f t="shared" si="0"/>
        <v>Input_BS_Topsides_SchRunOff</v>
      </c>
      <c r="AG47" t="str">
        <f t="shared" si="1"/>
        <v>EBER</v>
      </c>
      <c r="AI47" s="4" t="str">
        <f>_xlfn.VALUETOTEXT(SUBSTITUTE(SUBSTITUTE(tbl_DynDB_JOB_METADATA[[#This Row],[TransformationQuery]], "\n", CHAR(10)), CHAR(34), ""))</f>
        <v xml:space="preserve">SELECT DISTINCT 
    CAST(
        src.val_date AS DATE
    ) AS val_date, 
    src.val_qtr, 
    CAST(
        src.topside_id AS INTEGER
    ) AS topside_id, 
    src.valuation_block,
    src.balance, 
    src.input_source,
    src.input_source_description,
    src.input_source_metadata,
    CAST(
        src.runoff_start_date AS DATE
    ) AS runoff_start_date,
    CAST(
        src.runoff_quarters AS INTEGER
    ) AS runoff_quarters, 
    CAST(
        src.runoff_finish_date AS DATE
    ) AS runoff_finish_date, 
    src.quarter_type,
    CAST(
        src.runoff_pattern AS INTEGER
    ) AS runoff_pattern,
    CAST(
        src.rlus_gaap_balance AS DECIMAL(38,2)
    ) AS rlus_gaap_balance,
    CAST(
        src.tpa_gaap_balance AS DECIMAL(38, 2)
    ) AS tpa_gaap_balance, 
    CAST(
        src.stat_balance AS DECIMAL(38, 2)
    ) AS stat_balance, 
    CAST(
        src.tax_balance AS DECIMAL(38, 2)
    ) AS tax_balance, 
    CAST(
        src.ny_basis_stat_balance AS DECIMAL(38, 2)
    ) AS ny_basis_stat_balance, 
    CAST(
        src.economic_balance AS DECIMAL(38, 2)
    ) AS economic_balance, 
    CAST(
        src.bma_balance AS DECIMAL(38, 2)
    ) AS bma_balance, 
    CAST(
        src.ics_balance AS DECIMAL(38, 2)
    ) AS ics_balance, 
    CAST(
        src.ifrs_balance AS DECIMAL(38, 2)
    ) AS ifrs_balance 
FROM 
  SOURCE src
</v>
      </c>
    </row>
    <row r="48" spans="1:35" x14ac:dyDescent="0.2">
      <c r="A48" s="21" t="s">
        <v>279</v>
      </c>
      <c r="B48" s="21" t="s">
        <v>60</v>
      </c>
      <c r="C48" s="21" t="s">
        <v>277</v>
      </c>
      <c r="D48" s="21" t="s">
        <v>62</v>
      </c>
      <c r="E48" s="21" t="s">
        <v>77</v>
      </c>
      <c r="F48" s="21" t="s">
        <v>280</v>
      </c>
      <c r="G48" s="21" t="s">
        <v>276</v>
      </c>
      <c r="H48" s="21" t="s">
        <v>79</v>
      </c>
      <c r="I48" s="21" t="s">
        <v>63</v>
      </c>
      <c r="J48" s="21" t="s">
        <v>63</v>
      </c>
      <c r="K48" s="21" t="s">
        <v>63</v>
      </c>
      <c r="L48" s="21" t="s">
        <v>281</v>
      </c>
      <c r="M48" s="20">
        <v>500</v>
      </c>
      <c r="N48" s="20">
        <v>500</v>
      </c>
      <c r="O48" s="21" t="s">
        <v>66</v>
      </c>
      <c r="P48" s="21" t="s">
        <v>67</v>
      </c>
      <c r="Q48" s="21" t="s">
        <v>62</v>
      </c>
      <c r="R48" s="21" t="s">
        <v>70</v>
      </c>
      <c r="S48" s="21" t="s">
        <v>70</v>
      </c>
      <c r="T48" s="21" t="s">
        <v>63</v>
      </c>
      <c r="U48" s="21" t="s">
        <v>62</v>
      </c>
      <c r="V48" s="21" t="s">
        <v>63</v>
      </c>
      <c r="W48" s="21" t="s">
        <v>71</v>
      </c>
      <c r="X48" s="21" t="s">
        <v>72</v>
      </c>
      <c r="Y48" s="21" t="s">
        <v>63</v>
      </c>
      <c r="Z48" s="21" t="s">
        <v>273</v>
      </c>
      <c r="AA48" s="21" t="s">
        <v>81</v>
      </c>
      <c r="AB48" s="21" t="s">
        <v>75</v>
      </c>
      <c r="AD48" t="str">
        <v>Meta_DataDictionary</v>
      </c>
      <c r="AF48" t="str">
        <f t="shared" si="0"/>
        <v>Input_BS_Topsides_SchRunOff</v>
      </c>
      <c r="AG48" t="str">
        <f t="shared" si="1"/>
        <v>ELEB</v>
      </c>
      <c r="AI48" s="4" t="str">
        <f>_xlfn.VALUETOTEXT(SUBSTITUTE(SUBSTITUTE(tbl_DynDB_JOB_METADATA[[#This Row],[TransformationQuery]], "\n", CHAR(10)), CHAR(34), ""))</f>
        <v>Select src.* FROM SOURCE src</v>
      </c>
    </row>
    <row r="49" spans="1:35" x14ac:dyDescent="0.2">
      <c r="A49" s="21" t="s">
        <v>282</v>
      </c>
      <c r="B49" s="21" t="s">
        <v>60</v>
      </c>
      <c r="C49" s="21" t="s">
        <v>283</v>
      </c>
      <c r="D49" s="21" t="s">
        <v>62</v>
      </c>
      <c r="E49" s="21" t="s">
        <v>63</v>
      </c>
      <c r="F49" s="21" t="s">
        <v>284</v>
      </c>
      <c r="G49" s="21" t="s">
        <v>14</v>
      </c>
      <c r="H49" s="21" t="s">
        <v>66</v>
      </c>
      <c r="I49" s="21" t="s">
        <v>60</v>
      </c>
      <c r="J49" s="21" t="s">
        <v>63</v>
      </c>
      <c r="K49" s="21" t="s">
        <v>285</v>
      </c>
      <c r="L49" s="21" t="s">
        <v>286</v>
      </c>
      <c r="M49" s="20">
        <v>500</v>
      </c>
      <c r="N49" s="20">
        <v>500</v>
      </c>
      <c r="O49" s="21" t="s">
        <v>66</v>
      </c>
      <c r="P49" s="21" t="s">
        <v>151</v>
      </c>
      <c r="Q49" s="21" t="s">
        <v>63</v>
      </c>
      <c r="R49" s="21" t="s">
        <v>70</v>
      </c>
      <c r="S49" s="21" t="s">
        <v>70</v>
      </c>
      <c r="T49" s="21" t="s">
        <v>63</v>
      </c>
      <c r="U49" s="21" t="s">
        <v>62</v>
      </c>
      <c r="V49" s="21" t="s">
        <v>63</v>
      </c>
      <c r="W49" s="21" t="s">
        <v>71</v>
      </c>
      <c r="X49" s="21" t="s">
        <v>72</v>
      </c>
      <c r="Y49" s="21" t="s">
        <v>63</v>
      </c>
      <c r="Z49" s="21" t="s">
        <v>287</v>
      </c>
      <c r="AA49" s="21" t="s">
        <v>288</v>
      </c>
      <c r="AB49" s="21" t="s">
        <v>75</v>
      </c>
      <c r="AD49" t="str">
        <v>Summary_BS_Topsides_Merged</v>
      </c>
      <c r="AF49" t="str">
        <f t="shared" si="0"/>
        <v>Map_Balance_BS</v>
      </c>
      <c r="AG49" t="str">
        <f t="shared" si="1"/>
        <v>EBEX</v>
      </c>
      <c r="AI49" s="4" t="str">
        <f>_xlfn.VALUETOTEXT(SUBSTITUTE(SUBSTITUTE(tbl_DynDB_JOB_METADATA[[#This Row],[TransformationQuery]], "\n", CHAR(10)), CHAR(34), ""))</f>
        <v>SELECT 
  DISTINCT CAST(src.balance_id AS INTEGER) AS balance_id, 
  balance, 
  balance_description, 
  upload, 
  associated_is_balance, 
  fas60_gaap_gross_bs_category, 
  fas60_gaap_ceded_bs_category, 
  fas60_gaap_dep_gross_bs_category, 
  fas60_gaap_dep_ceded_bs_category, 
  fas91_gaap_gross_bs_category, 
  fas91_gaap_ceded_bs_category, 
  fas91_gaap_dep_gross_bs_category, 
  fas91_gaap_dep_ceded_bs_category, 
  fas97_gaap_gross_bs_category, 
  fas97_gaap_ceded_bs_category, 
  fas97_gaap_dep_gross_bs_category, 
  fas97_gaap_dep_ceded_bs_category, 
  stat_bs_category, 
  tax_bs_category, 
  rider_category, 
  CAST(src.cft_modeled AS INTEGER) AS cft_modeled, 
  trend_category, 
  captive_display_category, 
  balance_type 
FROM 
  SOURCE src</v>
      </c>
    </row>
    <row r="50" spans="1:35" x14ac:dyDescent="0.2">
      <c r="A50" s="21" t="s">
        <v>289</v>
      </c>
      <c r="B50" s="21" t="s">
        <v>60</v>
      </c>
      <c r="C50" s="21" t="s">
        <v>285</v>
      </c>
      <c r="D50" s="21" t="s">
        <v>62</v>
      </c>
      <c r="E50" s="21" t="s">
        <v>77</v>
      </c>
      <c r="F50" s="21" t="s">
        <v>290</v>
      </c>
      <c r="G50" s="21" t="s">
        <v>14</v>
      </c>
      <c r="H50" s="21" t="s">
        <v>79</v>
      </c>
      <c r="I50" s="21" t="s">
        <v>63</v>
      </c>
      <c r="J50" s="21" t="s">
        <v>63</v>
      </c>
      <c r="K50" s="21" t="s">
        <v>63</v>
      </c>
      <c r="L50" s="21" t="s">
        <v>291</v>
      </c>
      <c r="M50" s="20">
        <v>500</v>
      </c>
      <c r="N50" s="20">
        <v>500</v>
      </c>
      <c r="O50" s="21" t="s">
        <v>66</v>
      </c>
      <c r="P50" s="21" t="s">
        <v>151</v>
      </c>
      <c r="Q50" s="21" t="s">
        <v>63</v>
      </c>
      <c r="R50" s="21" t="s">
        <v>70</v>
      </c>
      <c r="S50" s="21" t="s">
        <v>70</v>
      </c>
      <c r="T50" s="21" t="s">
        <v>63</v>
      </c>
      <c r="U50" s="21" t="s">
        <v>62</v>
      </c>
      <c r="V50" s="21" t="s">
        <v>63</v>
      </c>
      <c r="W50" s="21" t="s">
        <v>71</v>
      </c>
      <c r="X50" s="21" t="s">
        <v>72</v>
      </c>
      <c r="Y50" s="21" t="s">
        <v>63</v>
      </c>
      <c r="Z50" s="21" t="s">
        <v>282</v>
      </c>
      <c r="AA50" s="21" t="s">
        <v>81</v>
      </c>
      <c r="AB50" s="21" t="s">
        <v>75</v>
      </c>
      <c r="AD50" t="str">
        <v>Val_Acct_BS_RLUS</v>
      </c>
      <c r="AF50" t="str">
        <f t="shared" si="0"/>
        <v>Map_Balance_BS</v>
      </c>
      <c r="AG50" t="str">
        <f t="shared" si="1"/>
        <v>ELEB</v>
      </c>
      <c r="AI50" s="4" t="str">
        <f>_xlfn.VALUETOTEXT(SUBSTITUTE(SUBSTITUTE(tbl_DynDB_JOB_METADATA[[#This Row],[TransformationQuery]], "\n", CHAR(10)), CHAR(34), ""))</f>
        <v>Select src.* FROM SOURCE src</v>
      </c>
    </row>
    <row r="51" spans="1:35" x14ac:dyDescent="0.2">
      <c r="A51" s="21" t="s">
        <v>287</v>
      </c>
      <c r="B51" s="21" t="s">
        <v>94</v>
      </c>
      <c r="C51" s="21" t="s">
        <v>292</v>
      </c>
      <c r="D51" s="21" t="s">
        <v>62</v>
      </c>
      <c r="E51" s="21" t="s">
        <v>63</v>
      </c>
      <c r="F51" s="21" t="s">
        <v>293</v>
      </c>
      <c r="G51" s="21" t="s">
        <v>14</v>
      </c>
      <c r="H51" s="21" t="s">
        <v>66</v>
      </c>
      <c r="I51" s="21" t="s">
        <v>60</v>
      </c>
      <c r="J51" s="21" t="s">
        <v>63</v>
      </c>
      <c r="K51" s="21" t="s">
        <v>283</v>
      </c>
      <c r="L51" s="21" t="s">
        <v>294</v>
      </c>
      <c r="M51" s="20">
        <v>500</v>
      </c>
      <c r="N51" s="20">
        <v>500</v>
      </c>
      <c r="O51" s="21" t="s">
        <v>66</v>
      </c>
      <c r="P51" s="21" t="s">
        <v>151</v>
      </c>
      <c r="Q51" s="21" t="s">
        <v>63</v>
      </c>
      <c r="R51" s="21" t="s">
        <v>70</v>
      </c>
      <c r="S51" s="21" t="s">
        <v>100</v>
      </c>
      <c r="T51" s="21" t="s">
        <v>63</v>
      </c>
      <c r="U51" s="21" t="s">
        <v>62</v>
      </c>
      <c r="V51" s="21" t="s">
        <v>63</v>
      </c>
      <c r="W51" s="21" t="s">
        <v>71</v>
      </c>
      <c r="X51" s="21" t="s">
        <v>72</v>
      </c>
      <c r="Y51" s="21" t="s">
        <v>63</v>
      </c>
      <c r="Z51" s="21" t="s">
        <v>295</v>
      </c>
      <c r="AA51" s="21" t="s">
        <v>81</v>
      </c>
      <c r="AB51" s="21" t="s">
        <v>75</v>
      </c>
      <c r="AD51" t="str">
        <v>Val_Acct_BS_Voya</v>
      </c>
      <c r="AF51" t="str">
        <f t="shared" si="0"/>
        <v>Map_Balance_BS</v>
      </c>
      <c r="AG51" t="str">
        <f t="shared" si="1"/>
        <v>EXCC</v>
      </c>
      <c r="AI51" s="4" t="str">
        <f>_xlfn.VALUETOTEXT(SUBSTITUTE(SUBSTITUTE(tbl_DynDB_JOB_METADATA[[#This Row],[TransformationQuery]], "\n", CHAR(10)), CHAR(34), ""))</f>
        <v>Select src.* FROM SOURCE src</v>
      </c>
    </row>
    <row r="52" spans="1:35" x14ac:dyDescent="0.2">
      <c r="A52" s="21" t="s">
        <v>296</v>
      </c>
      <c r="B52" s="21" t="s">
        <v>60</v>
      </c>
      <c r="C52" s="21" t="s">
        <v>297</v>
      </c>
      <c r="D52" s="21" t="s">
        <v>62</v>
      </c>
      <c r="E52" s="21" t="s">
        <v>63</v>
      </c>
      <c r="F52" s="21" t="s">
        <v>298</v>
      </c>
      <c r="G52" s="21" t="s">
        <v>30</v>
      </c>
      <c r="H52" s="21" t="s">
        <v>66</v>
      </c>
      <c r="I52" s="21" t="s">
        <v>60</v>
      </c>
      <c r="J52" s="21" t="s">
        <v>63</v>
      </c>
      <c r="K52" s="21" t="s">
        <v>299</v>
      </c>
      <c r="L52" s="21" t="s">
        <v>300</v>
      </c>
      <c r="M52" s="20">
        <v>500</v>
      </c>
      <c r="N52" s="20">
        <v>500</v>
      </c>
      <c r="O52" s="21" t="s">
        <v>66</v>
      </c>
      <c r="P52" s="21" t="s">
        <v>151</v>
      </c>
      <c r="Q52" s="21" t="s">
        <v>63</v>
      </c>
      <c r="R52" s="21" t="s">
        <v>70</v>
      </c>
      <c r="S52" s="21" t="s">
        <v>70</v>
      </c>
      <c r="T52" s="21" t="s">
        <v>63</v>
      </c>
      <c r="U52" s="21" t="s">
        <v>62</v>
      </c>
      <c r="V52" s="21" t="s">
        <v>63</v>
      </c>
      <c r="W52" s="21" t="s">
        <v>71</v>
      </c>
      <c r="X52" s="21" t="s">
        <v>72</v>
      </c>
      <c r="Y52" s="21" t="s">
        <v>63</v>
      </c>
      <c r="Z52" s="21" t="s">
        <v>301</v>
      </c>
      <c r="AA52" s="21" t="s">
        <v>302</v>
      </c>
      <c r="AB52" s="21" t="s">
        <v>75</v>
      </c>
      <c r="AF52" t="str">
        <f t="shared" si="0"/>
        <v>Map_Balance_IS</v>
      </c>
      <c r="AG52" t="str">
        <f t="shared" si="1"/>
        <v>EBEX</v>
      </c>
      <c r="AI52" s="4" t="str">
        <f>_xlfn.VALUETOTEXT(SUBSTITUTE(SUBSTITUTE(tbl_DynDB_JOB_METADATA[[#This Row],[TransformationQuery]], "\n", CHAR(10)), CHAR(34), ""))</f>
        <v>SELECT 
DISTINCT CAST(src.balance_id AS INTEGER) AS balance_id, 
src.chg_in_balance_description, 
src.chg_in_balance_description_detailed, 
src.upload, 
src.fas60_gaap_is_category, 
src.fas60_gaap_deposit_is_category, 
src.fas91_gaap_is_category, 
src.fas91_gaap_deposit_is_category, 
src.fas97_gaap_is_category, 
src.fas97_gaap_deposit_is_category, 
src.stat_is_category, 
src.tax_is_category, 
src.rider_category,
src.captive_display_category,
CAST(src.cft_modeled AS INTEGER) AS cft_modeled, 
src.trend_category, 
src.balance_type, 
src.associated_is_balance
FROM 
SOURCE src</v>
      </c>
    </row>
    <row r="53" spans="1:35" x14ac:dyDescent="0.2">
      <c r="A53" s="21" t="s">
        <v>303</v>
      </c>
      <c r="B53" s="21" t="s">
        <v>60</v>
      </c>
      <c r="C53" s="21" t="s">
        <v>299</v>
      </c>
      <c r="D53" s="21" t="s">
        <v>62</v>
      </c>
      <c r="E53" s="21" t="s">
        <v>77</v>
      </c>
      <c r="F53" s="21" t="s">
        <v>304</v>
      </c>
      <c r="G53" s="21" t="s">
        <v>30</v>
      </c>
      <c r="H53" s="21" t="s">
        <v>79</v>
      </c>
      <c r="I53" s="21" t="s">
        <v>63</v>
      </c>
      <c r="J53" s="21" t="s">
        <v>63</v>
      </c>
      <c r="K53" s="21" t="s">
        <v>63</v>
      </c>
      <c r="L53" s="21" t="s">
        <v>305</v>
      </c>
      <c r="M53" s="20">
        <v>500</v>
      </c>
      <c r="N53" s="20">
        <v>500</v>
      </c>
      <c r="O53" s="21" t="s">
        <v>66</v>
      </c>
      <c r="P53" s="21" t="s">
        <v>151</v>
      </c>
      <c r="Q53" s="21" t="s">
        <v>63</v>
      </c>
      <c r="R53" s="21" t="s">
        <v>70</v>
      </c>
      <c r="S53" s="21" t="s">
        <v>70</v>
      </c>
      <c r="T53" s="21" t="s">
        <v>63</v>
      </c>
      <c r="U53" s="21" t="s">
        <v>62</v>
      </c>
      <c r="V53" s="21" t="s">
        <v>63</v>
      </c>
      <c r="W53" s="21" t="s">
        <v>71</v>
      </c>
      <c r="X53" s="21" t="s">
        <v>72</v>
      </c>
      <c r="Y53" s="21" t="s">
        <v>63</v>
      </c>
      <c r="Z53" s="21" t="s">
        <v>296</v>
      </c>
      <c r="AA53" s="21" t="s">
        <v>81</v>
      </c>
      <c r="AB53" s="21" t="s">
        <v>75</v>
      </c>
      <c r="AF53" t="str">
        <f t="shared" si="0"/>
        <v>Map_Balance_IS</v>
      </c>
      <c r="AG53" t="str">
        <f t="shared" si="1"/>
        <v>ELEB</v>
      </c>
      <c r="AI53" s="4" t="str">
        <f>_xlfn.VALUETOTEXT(SUBSTITUTE(SUBSTITUTE(tbl_DynDB_JOB_METADATA[[#This Row],[TransformationQuery]], "\n", CHAR(10)), CHAR(34), ""))</f>
        <v>Select src.* FROM SOURCE src</v>
      </c>
    </row>
    <row r="54" spans="1:35" x14ac:dyDescent="0.2">
      <c r="A54" s="21" t="s">
        <v>301</v>
      </c>
      <c r="B54" s="21" t="s">
        <v>94</v>
      </c>
      <c r="C54" s="21" t="s">
        <v>306</v>
      </c>
      <c r="D54" s="21" t="s">
        <v>62</v>
      </c>
      <c r="E54" s="21" t="s">
        <v>63</v>
      </c>
      <c r="F54" s="21" t="s">
        <v>307</v>
      </c>
      <c r="G54" s="21" t="s">
        <v>30</v>
      </c>
      <c r="H54" s="21" t="s">
        <v>66</v>
      </c>
      <c r="I54" s="21" t="s">
        <v>60</v>
      </c>
      <c r="J54" s="21" t="s">
        <v>63</v>
      </c>
      <c r="K54" s="21" t="s">
        <v>297</v>
      </c>
      <c r="L54" s="21" t="s">
        <v>308</v>
      </c>
      <c r="M54" s="20">
        <v>500</v>
      </c>
      <c r="N54" s="20">
        <v>500</v>
      </c>
      <c r="O54" s="21" t="s">
        <v>66</v>
      </c>
      <c r="P54" s="21" t="s">
        <v>151</v>
      </c>
      <c r="Q54" s="21" t="s">
        <v>63</v>
      </c>
      <c r="R54" s="21" t="s">
        <v>70</v>
      </c>
      <c r="S54" s="21" t="s">
        <v>100</v>
      </c>
      <c r="T54" s="21" t="s">
        <v>63</v>
      </c>
      <c r="U54" s="21" t="s">
        <v>62</v>
      </c>
      <c r="V54" s="21" t="s">
        <v>63</v>
      </c>
      <c r="W54" s="21" t="s">
        <v>71</v>
      </c>
      <c r="X54" s="21" t="s">
        <v>72</v>
      </c>
      <c r="Y54" s="21" t="s">
        <v>63</v>
      </c>
      <c r="Z54" s="21" t="s">
        <v>309</v>
      </c>
      <c r="AA54" s="21" t="s">
        <v>81</v>
      </c>
      <c r="AB54" s="21" t="s">
        <v>75</v>
      </c>
      <c r="AF54" t="str">
        <f t="shared" si="0"/>
        <v>Map_Balance_IS</v>
      </c>
      <c r="AG54" t="str">
        <f t="shared" si="1"/>
        <v>EXCC</v>
      </c>
      <c r="AI54" s="4" t="str">
        <f>_xlfn.VALUETOTEXT(SUBSTITUTE(SUBSTITUTE(tbl_DynDB_JOB_METADATA[[#This Row],[TransformationQuery]], "\n", CHAR(10)), CHAR(34), ""))</f>
        <v>Select src.* FROM SOURCE src</v>
      </c>
    </row>
    <row r="55" spans="1:35" x14ac:dyDescent="0.2">
      <c r="A55" s="21" t="s">
        <v>310</v>
      </c>
      <c r="B55" s="21" t="s">
        <v>60</v>
      </c>
      <c r="C55" s="21" t="s">
        <v>311</v>
      </c>
      <c r="D55" s="21" t="s">
        <v>62</v>
      </c>
      <c r="E55" s="21" t="s">
        <v>63</v>
      </c>
      <c r="F55" s="21" t="s">
        <v>312</v>
      </c>
      <c r="G55" s="21" t="s">
        <v>13</v>
      </c>
      <c r="H55" s="21" t="s">
        <v>66</v>
      </c>
      <c r="I55" s="21" t="s">
        <v>60</v>
      </c>
      <c r="J55" s="21" t="s">
        <v>63</v>
      </c>
      <c r="K55" s="21" t="s">
        <v>313</v>
      </c>
      <c r="L55" s="21" t="s">
        <v>314</v>
      </c>
      <c r="M55" s="20">
        <v>500</v>
      </c>
      <c r="N55" s="20">
        <v>500</v>
      </c>
      <c r="O55" s="21" t="s">
        <v>66</v>
      </c>
      <c r="P55" s="21" t="s">
        <v>151</v>
      </c>
      <c r="Q55" s="21" t="s">
        <v>62</v>
      </c>
      <c r="R55" s="21" t="s">
        <v>70</v>
      </c>
      <c r="S55" s="21" t="s">
        <v>70</v>
      </c>
      <c r="T55" s="21" t="s">
        <v>63</v>
      </c>
      <c r="U55" s="21" t="s">
        <v>62</v>
      </c>
      <c r="V55" s="21" t="s">
        <v>63</v>
      </c>
      <c r="W55" s="21" t="s">
        <v>71</v>
      </c>
      <c r="X55" s="21" t="s">
        <v>72</v>
      </c>
      <c r="Y55" s="21" t="s">
        <v>62</v>
      </c>
      <c r="Z55" s="21" t="s">
        <v>315</v>
      </c>
      <c r="AA55" s="21" t="s">
        <v>316</v>
      </c>
      <c r="AB55" s="21" t="s">
        <v>75</v>
      </c>
      <c r="AF55" t="str">
        <f t="shared" si="0"/>
        <v>Map_Block</v>
      </c>
      <c r="AG55" t="str">
        <f t="shared" si="1"/>
        <v>EBEX</v>
      </c>
      <c r="AI55" s="4" t="str">
        <f>_xlfn.VALUETOTEXT(SUBSTITUTE(SUBSTITUTE(tbl_DynDB_JOB_METADATA[[#This Row],[TransformationQuery]], "\n", CHAR(10)), CHAR(34), ""))</f>
        <v>SELECT 
  DISTINCT CAST(src.block_id AS INTEGER) AS block_id, 
  valuation_block, 
  valuation_block_description, 
  direct_le, 
  direct_le_othr, 
  prod_type, 
  par_code, 
  insureds, 
  rlus_gaap_cohort, 
  tpa_gaap_cohort, 
  grp_srvconly, 
  grp_block, 
  grp_sub_block, 
  financing_deal, 
  CAST(src.cft_modeled AS INTEGER) AS cft_modeled, 
  ledger_segment, 
  ledger_product, 
  ledger_treaty 
FROM 
  SOURCE src</v>
      </c>
    </row>
    <row r="56" spans="1:35" x14ac:dyDescent="0.2">
      <c r="A56" s="21" t="s">
        <v>317</v>
      </c>
      <c r="B56" s="21" t="s">
        <v>60</v>
      </c>
      <c r="C56" s="21" t="s">
        <v>313</v>
      </c>
      <c r="D56" s="21" t="s">
        <v>62</v>
      </c>
      <c r="E56" s="21" t="s">
        <v>77</v>
      </c>
      <c r="F56" s="21" t="s">
        <v>318</v>
      </c>
      <c r="G56" s="21" t="s">
        <v>13</v>
      </c>
      <c r="H56" s="21" t="s">
        <v>79</v>
      </c>
      <c r="I56" s="21" t="s">
        <v>63</v>
      </c>
      <c r="J56" s="21" t="s">
        <v>63</v>
      </c>
      <c r="K56" s="21" t="s">
        <v>63</v>
      </c>
      <c r="L56" s="21" t="s">
        <v>319</v>
      </c>
      <c r="M56" s="20">
        <v>500</v>
      </c>
      <c r="N56" s="20">
        <v>500</v>
      </c>
      <c r="O56" s="21" t="s">
        <v>66</v>
      </c>
      <c r="P56" s="21" t="s">
        <v>151</v>
      </c>
      <c r="Q56" s="21" t="s">
        <v>62</v>
      </c>
      <c r="R56" s="21" t="s">
        <v>70</v>
      </c>
      <c r="S56" s="21" t="s">
        <v>70</v>
      </c>
      <c r="T56" s="21" t="s">
        <v>63</v>
      </c>
      <c r="U56" s="21" t="s">
        <v>62</v>
      </c>
      <c r="V56" s="21" t="s">
        <v>63</v>
      </c>
      <c r="W56" s="21" t="s">
        <v>71</v>
      </c>
      <c r="X56" s="21" t="s">
        <v>72</v>
      </c>
      <c r="Y56" s="21" t="s">
        <v>63</v>
      </c>
      <c r="Z56" s="21" t="s">
        <v>310</v>
      </c>
      <c r="AA56" s="21" t="s">
        <v>81</v>
      </c>
      <c r="AB56" s="21" t="s">
        <v>75</v>
      </c>
      <c r="AF56" t="str">
        <f t="shared" si="0"/>
        <v>Map_Block</v>
      </c>
      <c r="AG56" t="str">
        <f t="shared" si="1"/>
        <v>ELEB</v>
      </c>
      <c r="AI56" s="4" t="str">
        <f>_xlfn.VALUETOTEXT(SUBSTITUTE(SUBSTITUTE(tbl_DynDB_JOB_METADATA[[#This Row],[TransformationQuery]], "\n", CHAR(10)), CHAR(34), ""))</f>
        <v>Select src.* FROM SOURCE src</v>
      </c>
    </row>
    <row r="57" spans="1:35" x14ac:dyDescent="0.2">
      <c r="A57" s="21" t="s">
        <v>315</v>
      </c>
      <c r="B57" s="21" t="s">
        <v>94</v>
      </c>
      <c r="C57" s="21" t="s">
        <v>320</v>
      </c>
      <c r="D57" s="21" t="s">
        <v>62</v>
      </c>
      <c r="E57" s="21" t="s">
        <v>63</v>
      </c>
      <c r="F57" s="21" t="s">
        <v>321</v>
      </c>
      <c r="G57" s="21" t="s">
        <v>13</v>
      </c>
      <c r="H57" s="21" t="s">
        <v>66</v>
      </c>
      <c r="I57" s="21" t="s">
        <v>60</v>
      </c>
      <c r="J57" s="21" t="s">
        <v>63</v>
      </c>
      <c r="K57" s="21" t="s">
        <v>311</v>
      </c>
      <c r="L57" s="21" t="s">
        <v>322</v>
      </c>
      <c r="M57" s="20">
        <v>500</v>
      </c>
      <c r="N57" s="20">
        <v>500</v>
      </c>
      <c r="O57" s="21" t="s">
        <v>66</v>
      </c>
      <c r="P57" s="21" t="s">
        <v>151</v>
      </c>
      <c r="Q57" s="21" t="s">
        <v>62</v>
      </c>
      <c r="R57" s="21" t="s">
        <v>70</v>
      </c>
      <c r="S57" s="21" t="s">
        <v>100</v>
      </c>
      <c r="T57" s="21" t="s">
        <v>63</v>
      </c>
      <c r="U57" s="21" t="s">
        <v>62</v>
      </c>
      <c r="V57" s="21" t="s">
        <v>63</v>
      </c>
      <c r="W57" s="21" t="s">
        <v>71</v>
      </c>
      <c r="X57" s="21" t="s">
        <v>72</v>
      </c>
      <c r="Y57" s="21" t="s">
        <v>63</v>
      </c>
      <c r="Z57" s="21" t="s">
        <v>323</v>
      </c>
      <c r="AA57" s="21" t="s">
        <v>81</v>
      </c>
      <c r="AB57" s="21" t="s">
        <v>75</v>
      </c>
      <c r="AF57" t="str">
        <f t="shared" si="0"/>
        <v>Map_Block</v>
      </c>
      <c r="AG57" t="str">
        <f t="shared" si="1"/>
        <v>EXCC</v>
      </c>
      <c r="AI57" s="4" t="str">
        <f>_xlfn.VALUETOTEXT(SUBSTITUTE(SUBSTITUTE(tbl_DynDB_JOB_METADATA[[#This Row],[TransformationQuery]], "\n", CHAR(10)), CHAR(34), ""))</f>
        <v>Select src.* FROM SOURCE src</v>
      </c>
    </row>
    <row r="58" spans="1:35" x14ac:dyDescent="0.2">
      <c r="A58" s="21" t="s">
        <v>324</v>
      </c>
      <c r="B58" s="21" t="s">
        <v>60</v>
      </c>
      <c r="C58" s="21" t="s">
        <v>325</v>
      </c>
      <c r="D58" s="21" t="s">
        <v>62</v>
      </c>
      <c r="E58" s="21" t="s">
        <v>63</v>
      </c>
      <c r="F58" s="21" t="s">
        <v>326</v>
      </c>
      <c r="G58" s="21" t="s">
        <v>20</v>
      </c>
      <c r="H58" s="21" t="s">
        <v>66</v>
      </c>
      <c r="I58" s="21" t="s">
        <v>60</v>
      </c>
      <c r="J58" s="21" t="s">
        <v>63</v>
      </c>
      <c r="K58" s="21" t="s">
        <v>327</v>
      </c>
      <c r="L58" s="21" t="s">
        <v>328</v>
      </c>
      <c r="M58" s="20">
        <v>500</v>
      </c>
      <c r="N58" s="20">
        <v>500</v>
      </c>
      <c r="O58" s="21" t="s">
        <v>66</v>
      </c>
      <c r="P58" s="21" t="s">
        <v>151</v>
      </c>
      <c r="Q58" s="21" t="s">
        <v>63</v>
      </c>
      <c r="R58" s="21" t="s">
        <v>70</v>
      </c>
      <c r="S58" s="21" t="s">
        <v>70</v>
      </c>
      <c r="T58" s="21" t="s">
        <v>63</v>
      </c>
      <c r="U58" s="21" t="s">
        <v>62</v>
      </c>
      <c r="V58" s="21" t="s">
        <v>63</v>
      </c>
      <c r="W58" s="21" t="s">
        <v>71</v>
      </c>
      <c r="X58" s="21" t="s">
        <v>72</v>
      </c>
      <c r="Y58" s="21" t="s">
        <v>63</v>
      </c>
      <c r="Z58" s="21" t="s">
        <v>329</v>
      </c>
      <c r="AA58" s="21" t="s">
        <v>330</v>
      </c>
      <c r="AB58" s="21" t="s">
        <v>75</v>
      </c>
      <c r="AF58" t="str">
        <f t="shared" si="0"/>
        <v>Map_Company</v>
      </c>
      <c r="AG58" t="str">
        <f t="shared" si="1"/>
        <v>EBEX</v>
      </c>
      <c r="AI58" s="4" t="str">
        <f>_xlfn.VALUETOTEXT(SUBSTITUTE(SUBSTITUTE(tbl_DynDB_JOB_METADATA[[#This Row],[TransformationQuery]], "\n", CHAR(10)), CHAR(34), ""))</f>
        <v>SELECT 
  DISTINCT CAST(src.company AS STRING) AS company,
  CAST(src.company_description AS STRING) AS company_description
FROM 
  SOURCE src</v>
      </c>
    </row>
    <row r="59" spans="1:35" x14ac:dyDescent="0.2">
      <c r="A59" s="21" t="s">
        <v>331</v>
      </c>
      <c r="B59" s="21" t="s">
        <v>60</v>
      </c>
      <c r="C59" s="21" t="s">
        <v>327</v>
      </c>
      <c r="D59" s="21" t="s">
        <v>62</v>
      </c>
      <c r="E59" s="21" t="s">
        <v>77</v>
      </c>
      <c r="F59" s="21" t="s">
        <v>332</v>
      </c>
      <c r="G59" s="21" t="s">
        <v>20</v>
      </c>
      <c r="H59" s="21" t="s">
        <v>79</v>
      </c>
      <c r="I59" s="21" t="s">
        <v>63</v>
      </c>
      <c r="J59" s="21" t="s">
        <v>63</v>
      </c>
      <c r="K59" s="21" t="s">
        <v>63</v>
      </c>
      <c r="L59" s="21" t="s">
        <v>333</v>
      </c>
      <c r="M59" s="20">
        <v>500</v>
      </c>
      <c r="N59" s="20">
        <v>500</v>
      </c>
      <c r="O59" s="21" t="s">
        <v>66</v>
      </c>
      <c r="P59" s="21" t="s">
        <v>151</v>
      </c>
      <c r="Q59" s="21" t="s">
        <v>63</v>
      </c>
      <c r="R59" s="21" t="s">
        <v>70</v>
      </c>
      <c r="S59" s="21" t="s">
        <v>70</v>
      </c>
      <c r="T59" s="21" t="s">
        <v>63</v>
      </c>
      <c r="U59" s="21" t="s">
        <v>62</v>
      </c>
      <c r="V59" s="21" t="s">
        <v>63</v>
      </c>
      <c r="W59" s="21" t="s">
        <v>71</v>
      </c>
      <c r="X59" s="21" t="s">
        <v>72</v>
      </c>
      <c r="Y59" s="21" t="s">
        <v>63</v>
      </c>
      <c r="Z59" s="21" t="s">
        <v>324</v>
      </c>
      <c r="AA59" s="21" t="s">
        <v>81</v>
      </c>
      <c r="AB59" s="21" t="s">
        <v>75</v>
      </c>
      <c r="AF59" t="str">
        <f t="shared" si="0"/>
        <v>Map_Company</v>
      </c>
      <c r="AG59" t="str">
        <f t="shared" si="1"/>
        <v>ELEB</v>
      </c>
      <c r="AI59" s="4" t="str">
        <f>_xlfn.VALUETOTEXT(SUBSTITUTE(SUBSTITUTE(tbl_DynDB_JOB_METADATA[[#This Row],[TransformationQuery]], "\n", CHAR(10)), CHAR(34), ""))</f>
        <v>Select src.* FROM SOURCE src</v>
      </c>
    </row>
    <row r="60" spans="1:35" x14ac:dyDescent="0.2">
      <c r="A60" s="21" t="s">
        <v>329</v>
      </c>
      <c r="B60" s="21" t="s">
        <v>94</v>
      </c>
      <c r="C60" s="21" t="s">
        <v>334</v>
      </c>
      <c r="D60" s="21" t="s">
        <v>62</v>
      </c>
      <c r="E60" s="21" t="s">
        <v>63</v>
      </c>
      <c r="F60" s="21" t="s">
        <v>335</v>
      </c>
      <c r="G60" s="21" t="s">
        <v>20</v>
      </c>
      <c r="H60" s="21" t="s">
        <v>66</v>
      </c>
      <c r="I60" s="21" t="s">
        <v>60</v>
      </c>
      <c r="J60" s="21" t="s">
        <v>63</v>
      </c>
      <c r="K60" s="21" t="s">
        <v>325</v>
      </c>
      <c r="L60" s="21" t="s">
        <v>336</v>
      </c>
      <c r="M60" s="20">
        <v>500</v>
      </c>
      <c r="N60" s="20">
        <v>500</v>
      </c>
      <c r="O60" s="21" t="s">
        <v>66</v>
      </c>
      <c r="P60" s="21" t="s">
        <v>151</v>
      </c>
      <c r="Q60" s="21" t="s">
        <v>63</v>
      </c>
      <c r="R60" s="21" t="s">
        <v>70</v>
      </c>
      <c r="S60" s="21" t="s">
        <v>100</v>
      </c>
      <c r="T60" s="21" t="s">
        <v>63</v>
      </c>
      <c r="U60" s="21" t="s">
        <v>62</v>
      </c>
      <c r="V60" s="21" t="s">
        <v>63</v>
      </c>
      <c r="W60" s="21" t="s">
        <v>71</v>
      </c>
      <c r="X60" s="21" t="s">
        <v>72</v>
      </c>
      <c r="Y60" s="21" t="s">
        <v>63</v>
      </c>
      <c r="Z60" s="21" t="s">
        <v>337</v>
      </c>
      <c r="AA60" s="21" t="s">
        <v>81</v>
      </c>
      <c r="AB60" s="21" t="s">
        <v>75</v>
      </c>
      <c r="AF60" t="str">
        <f t="shared" si="0"/>
        <v>Map_Company</v>
      </c>
      <c r="AG60" t="str">
        <f t="shared" si="1"/>
        <v>EXCC</v>
      </c>
      <c r="AI60" s="4" t="str">
        <f>_xlfn.VALUETOTEXT(SUBSTITUTE(SUBSTITUTE(tbl_DynDB_JOB_METADATA[[#This Row],[TransformationQuery]], "\n", CHAR(10)), CHAR(34), ""))</f>
        <v>Select src.* FROM SOURCE src</v>
      </c>
    </row>
    <row r="61" spans="1:35" x14ac:dyDescent="0.2">
      <c r="A61" s="21" t="s">
        <v>338</v>
      </c>
      <c r="B61" s="21" t="s">
        <v>60</v>
      </c>
      <c r="C61" s="21" t="s">
        <v>339</v>
      </c>
      <c r="D61" s="21" t="s">
        <v>62</v>
      </c>
      <c r="E61" s="21" t="s">
        <v>63</v>
      </c>
      <c r="F61" s="21" t="s">
        <v>340</v>
      </c>
      <c r="G61" s="21" t="s">
        <v>26</v>
      </c>
      <c r="H61" s="21" t="s">
        <v>66</v>
      </c>
      <c r="I61" s="21" t="s">
        <v>60</v>
      </c>
      <c r="J61" s="21" t="s">
        <v>63</v>
      </c>
      <c r="K61" s="21" t="s">
        <v>341</v>
      </c>
      <c r="L61" s="21" t="s">
        <v>342</v>
      </c>
      <c r="M61" s="20">
        <v>500</v>
      </c>
      <c r="N61" s="20">
        <v>500</v>
      </c>
      <c r="O61" s="21" t="s">
        <v>66</v>
      </c>
      <c r="P61" s="21" t="s">
        <v>151</v>
      </c>
      <c r="Q61" s="21" t="s">
        <v>63</v>
      </c>
      <c r="R61" s="21" t="s">
        <v>70</v>
      </c>
      <c r="S61" s="21" t="s">
        <v>70</v>
      </c>
      <c r="T61" s="21" t="s">
        <v>63</v>
      </c>
      <c r="U61" s="21" t="s">
        <v>62</v>
      </c>
      <c r="V61" s="21" t="s">
        <v>63</v>
      </c>
      <c r="W61" s="21" t="s">
        <v>71</v>
      </c>
      <c r="X61" s="21" t="s">
        <v>72</v>
      </c>
      <c r="Y61" s="21" t="s">
        <v>63</v>
      </c>
      <c r="Z61" s="21" t="s">
        <v>343</v>
      </c>
      <c r="AA61" s="21" t="s">
        <v>344</v>
      </c>
      <c r="AB61" s="21" t="s">
        <v>75</v>
      </c>
      <c r="AF61" t="str">
        <f t="shared" si="0"/>
        <v>Map_EntryType</v>
      </c>
      <c r="AG61" t="str">
        <f t="shared" si="1"/>
        <v>EBEX</v>
      </c>
      <c r="AI61" s="4" t="str">
        <f>_xlfn.VALUETOTEXT(SUBSTITUTE(SUBSTITUTE(tbl_DynDB_JOB_METADATA[[#This Row],[TransformationQuery]], "\n", CHAR(10)), CHAR(34), ""))</f>
        <v xml:space="preserve">SELECT 
  DISTINCT CAST(src.entry_type AS STRING) AS entry_type, 
  CAST(
    src.entry_type_description AS STRING
  ) AS entry_type_description 
FROM 
  SOURCE src
</v>
      </c>
    </row>
    <row r="62" spans="1:35" x14ac:dyDescent="0.2">
      <c r="A62" s="21" t="s">
        <v>345</v>
      </c>
      <c r="B62" s="21" t="s">
        <v>60</v>
      </c>
      <c r="C62" s="21" t="s">
        <v>341</v>
      </c>
      <c r="D62" s="21" t="s">
        <v>62</v>
      </c>
      <c r="E62" s="21" t="s">
        <v>77</v>
      </c>
      <c r="F62" s="21" t="s">
        <v>346</v>
      </c>
      <c r="G62" s="21" t="s">
        <v>26</v>
      </c>
      <c r="H62" s="21" t="s">
        <v>79</v>
      </c>
      <c r="I62" s="21" t="s">
        <v>63</v>
      </c>
      <c r="J62" s="21" t="s">
        <v>63</v>
      </c>
      <c r="K62" s="21" t="s">
        <v>63</v>
      </c>
      <c r="L62" s="21" t="s">
        <v>347</v>
      </c>
      <c r="M62" s="20">
        <v>500</v>
      </c>
      <c r="N62" s="20">
        <v>500</v>
      </c>
      <c r="O62" s="21" t="s">
        <v>66</v>
      </c>
      <c r="P62" s="21" t="s">
        <v>151</v>
      </c>
      <c r="Q62" s="21" t="s">
        <v>63</v>
      </c>
      <c r="R62" s="21" t="s">
        <v>70</v>
      </c>
      <c r="S62" s="21" t="s">
        <v>70</v>
      </c>
      <c r="T62" s="21" t="s">
        <v>63</v>
      </c>
      <c r="U62" s="21" t="s">
        <v>62</v>
      </c>
      <c r="V62" s="21" t="s">
        <v>63</v>
      </c>
      <c r="W62" s="21" t="s">
        <v>71</v>
      </c>
      <c r="X62" s="21" t="s">
        <v>72</v>
      </c>
      <c r="Y62" s="21" t="s">
        <v>63</v>
      </c>
      <c r="Z62" s="21" t="s">
        <v>338</v>
      </c>
      <c r="AA62" s="21" t="s">
        <v>81</v>
      </c>
      <c r="AB62" s="21" t="s">
        <v>75</v>
      </c>
      <c r="AF62" t="str">
        <f t="shared" si="0"/>
        <v>Map_EntryType</v>
      </c>
      <c r="AG62" t="str">
        <f t="shared" si="1"/>
        <v>ELEB</v>
      </c>
      <c r="AI62" s="4" t="str">
        <f>_xlfn.VALUETOTEXT(SUBSTITUTE(SUBSTITUTE(tbl_DynDB_JOB_METADATA[[#This Row],[TransformationQuery]], "\n", CHAR(10)), CHAR(34), ""))</f>
        <v>Select src.* FROM SOURCE src</v>
      </c>
    </row>
    <row r="63" spans="1:35" x14ac:dyDescent="0.2">
      <c r="A63" s="21" t="s">
        <v>343</v>
      </c>
      <c r="B63" s="21" t="s">
        <v>94</v>
      </c>
      <c r="C63" s="21" t="s">
        <v>348</v>
      </c>
      <c r="D63" s="21" t="s">
        <v>62</v>
      </c>
      <c r="E63" s="21" t="s">
        <v>63</v>
      </c>
      <c r="F63" s="21" t="s">
        <v>349</v>
      </c>
      <c r="G63" s="21" t="s">
        <v>26</v>
      </c>
      <c r="H63" s="21" t="s">
        <v>66</v>
      </c>
      <c r="I63" s="21" t="s">
        <v>60</v>
      </c>
      <c r="J63" s="21" t="s">
        <v>63</v>
      </c>
      <c r="K63" s="21" t="s">
        <v>339</v>
      </c>
      <c r="L63" s="21" t="s">
        <v>350</v>
      </c>
      <c r="M63" s="20">
        <v>500</v>
      </c>
      <c r="N63" s="20">
        <v>500</v>
      </c>
      <c r="O63" s="21" t="s">
        <v>66</v>
      </c>
      <c r="P63" s="21" t="s">
        <v>151</v>
      </c>
      <c r="Q63" s="21" t="s">
        <v>63</v>
      </c>
      <c r="R63" s="21" t="s">
        <v>70</v>
      </c>
      <c r="S63" s="21" t="s">
        <v>100</v>
      </c>
      <c r="T63" s="21" t="s">
        <v>63</v>
      </c>
      <c r="U63" s="21" t="s">
        <v>62</v>
      </c>
      <c r="V63" s="21" t="s">
        <v>63</v>
      </c>
      <c r="W63" s="21" t="s">
        <v>71</v>
      </c>
      <c r="X63" s="21" t="s">
        <v>72</v>
      </c>
      <c r="Y63" s="21" t="s">
        <v>63</v>
      </c>
      <c r="Z63" s="21" t="s">
        <v>351</v>
      </c>
      <c r="AA63" s="21" t="s">
        <v>81</v>
      </c>
      <c r="AB63" s="21" t="s">
        <v>75</v>
      </c>
      <c r="AF63" t="str">
        <f t="shared" si="0"/>
        <v>Map_EntryType</v>
      </c>
      <c r="AG63" t="str">
        <f t="shared" si="1"/>
        <v>EXCC</v>
      </c>
      <c r="AI63" s="4" t="str">
        <f>_xlfn.VALUETOTEXT(SUBSTITUTE(SUBSTITUTE(tbl_DynDB_JOB_METADATA[[#This Row],[TransformationQuery]], "\n", CHAR(10)), CHAR(34), ""))</f>
        <v>Select src.* FROM SOURCE src</v>
      </c>
    </row>
    <row r="64" spans="1:35" x14ac:dyDescent="0.2">
      <c r="A64" s="21" t="s">
        <v>352</v>
      </c>
      <c r="B64" s="21" t="s">
        <v>60</v>
      </c>
      <c r="C64" s="21" t="s">
        <v>353</v>
      </c>
      <c r="D64" s="21" t="s">
        <v>62</v>
      </c>
      <c r="E64" s="21" t="s">
        <v>63</v>
      </c>
      <c r="F64" s="21" t="s">
        <v>354</v>
      </c>
      <c r="G64" s="21" t="s">
        <v>16</v>
      </c>
      <c r="H64" s="21" t="s">
        <v>66</v>
      </c>
      <c r="I64" s="21" t="s">
        <v>60</v>
      </c>
      <c r="J64" s="21" t="s">
        <v>63</v>
      </c>
      <c r="K64" s="21" t="s">
        <v>355</v>
      </c>
      <c r="L64" s="21" t="s">
        <v>356</v>
      </c>
      <c r="M64" s="20">
        <v>500</v>
      </c>
      <c r="N64" s="20">
        <v>500</v>
      </c>
      <c r="O64" s="21" t="s">
        <v>66</v>
      </c>
      <c r="P64" s="21" t="s">
        <v>151</v>
      </c>
      <c r="Q64" s="21" t="s">
        <v>63</v>
      </c>
      <c r="R64" s="21" t="s">
        <v>70</v>
      </c>
      <c r="S64" s="21" t="s">
        <v>70</v>
      </c>
      <c r="T64" s="21" t="s">
        <v>63</v>
      </c>
      <c r="U64" s="21" t="s">
        <v>62</v>
      </c>
      <c r="V64" s="21" t="s">
        <v>63</v>
      </c>
      <c r="W64" s="21" t="s">
        <v>71</v>
      </c>
      <c r="X64" s="21" t="s">
        <v>72</v>
      </c>
      <c r="Y64" s="21" t="s">
        <v>63</v>
      </c>
      <c r="Z64" s="21" t="s">
        <v>357</v>
      </c>
      <c r="AA64" s="21" t="s">
        <v>358</v>
      </c>
      <c r="AB64" s="21" t="s">
        <v>75</v>
      </c>
      <c r="AF64" t="str">
        <f t="shared" si="0"/>
        <v>Map_FinReins</v>
      </c>
      <c r="AG64" t="str">
        <f t="shared" si="1"/>
        <v>EBEX</v>
      </c>
      <c r="AI64" s="4" t="str">
        <f>_xlfn.VALUETOTEXT(SUBSTITUTE(SUBSTITUTE(tbl_DynDB_JOB_METADATA[[#This Row],[TransformationQuery]], "\n", CHAR(10)), CHAR(34), ""))</f>
        <v>SELECT 
  DISTINCT CAST(src.valuation_block AS STRING) AS valuation_block, 
  CAST(src.subdeal_step AS STRING) AS subdeal_step, 
  CAST(src.subdeal AS STRING) AS subdeal 
FROM 
  SOURCE src</v>
      </c>
    </row>
    <row r="65" spans="1:35" x14ac:dyDescent="0.2">
      <c r="A65" s="21" t="s">
        <v>359</v>
      </c>
      <c r="B65" s="21" t="s">
        <v>60</v>
      </c>
      <c r="C65" s="21" t="s">
        <v>355</v>
      </c>
      <c r="D65" s="21" t="s">
        <v>62</v>
      </c>
      <c r="E65" s="21" t="s">
        <v>77</v>
      </c>
      <c r="F65" s="21" t="s">
        <v>360</v>
      </c>
      <c r="G65" s="21" t="s">
        <v>16</v>
      </c>
      <c r="H65" s="21" t="s">
        <v>79</v>
      </c>
      <c r="I65" s="21" t="s">
        <v>63</v>
      </c>
      <c r="J65" s="21" t="s">
        <v>63</v>
      </c>
      <c r="K65" s="21" t="s">
        <v>63</v>
      </c>
      <c r="L65" s="21" t="s">
        <v>361</v>
      </c>
      <c r="M65" s="20">
        <v>500</v>
      </c>
      <c r="N65" s="20">
        <v>500</v>
      </c>
      <c r="O65" s="21" t="s">
        <v>66</v>
      </c>
      <c r="P65" s="21" t="s">
        <v>151</v>
      </c>
      <c r="Q65" s="21" t="s">
        <v>63</v>
      </c>
      <c r="R65" s="21" t="s">
        <v>70</v>
      </c>
      <c r="S65" s="21" t="s">
        <v>70</v>
      </c>
      <c r="T65" s="21" t="s">
        <v>63</v>
      </c>
      <c r="U65" s="21" t="s">
        <v>62</v>
      </c>
      <c r="V65" s="21" t="s">
        <v>63</v>
      </c>
      <c r="W65" s="21" t="s">
        <v>71</v>
      </c>
      <c r="X65" s="21" t="s">
        <v>72</v>
      </c>
      <c r="Y65" s="21" t="s">
        <v>63</v>
      </c>
      <c r="Z65" s="21" t="s">
        <v>352</v>
      </c>
      <c r="AA65" s="21" t="s">
        <v>81</v>
      </c>
      <c r="AB65" s="21" t="s">
        <v>75</v>
      </c>
      <c r="AF65" t="str">
        <f t="shared" si="0"/>
        <v>Map_FinReins</v>
      </c>
      <c r="AG65" t="str">
        <f t="shared" si="1"/>
        <v>ELEB</v>
      </c>
      <c r="AI65" s="4" t="str">
        <f>_xlfn.VALUETOTEXT(SUBSTITUTE(SUBSTITUTE(tbl_DynDB_JOB_METADATA[[#This Row],[TransformationQuery]], "\n", CHAR(10)), CHAR(34), ""))</f>
        <v>Select src.* FROM SOURCE src</v>
      </c>
    </row>
    <row r="66" spans="1:35" x14ac:dyDescent="0.2">
      <c r="A66" s="21" t="s">
        <v>357</v>
      </c>
      <c r="B66" s="21" t="s">
        <v>94</v>
      </c>
      <c r="C66" s="21" t="s">
        <v>362</v>
      </c>
      <c r="D66" s="21" t="s">
        <v>62</v>
      </c>
      <c r="E66" s="21" t="s">
        <v>63</v>
      </c>
      <c r="F66" s="21" t="s">
        <v>363</v>
      </c>
      <c r="G66" s="21" t="s">
        <v>16</v>
      </c>
      <c r="H66" s="21" t="s">
        <v>66</v>
      </c>
      <c r="I66" s="21" t="s">
        <v>60</v>
      </c>
      <c r="J66" s="21" t="s">
        <v>63</v>
      </c>
      <c r="K66" s="21" t="s">
        <v>353</v>
      </c>
      <c r="L66" s="21" t="s">
        <v>364</v>
      </c>
      <c r="M66" s="20">
        <v>500</v>
      </c>
      <c r="N66" s="20">
        <v>500</v>
      </c>
      <c r="O66" s="21" t="s">
        <v>66</v>
      </c>
      <c r="P66" s="21" t="s">
        <v>151</v>
      </c>
      <c r="Q66" s="21" t="s">
        <v>63</v>
      </c>
      <c r="R66" s="21" t="s">
        <v>70</v>
      </c>
      <c r="S66" s="21" t="s">
        <v>100</v>
      </c>
      <c r="T66" s="21" t="s">
        <v>63</v>
      </c>
      <c r="U66" s="21" t="s">
        <v>62</v>
      </c>
      <c r="V66" s="21" t="s">
        <v>63</v>
      </c>
      <c r="W66" s="21" t="s">
        <v>71</v>
      </c>
      <c r="X66" s="21" t="s">
        <v>72</v>
      </c>
      <c r="Y66" s="21" t="s">
        <v>63</v>
      </c>
      <c r="Z66" s="21" t="s">
        <v>365</v>
      </c>
      <c r="AA66" s="21" t="s">
        <v>81</v>
      </c>
      <c r="AB66" s="21" t="s">
        <v>75</v>
      </c>
      <c r="AF66" t="str">
        <f t="shared" si="0"/>
        <v>Map_FinReins</v>
      </c>
      <c r="AG66" t="str">
        <f t="shared" si="1"/>
        <v>EXCC</v>
      </c>
      <c r="AI66" s="4" t="str">
        <f>_xlfn.VALUETOTEXT(SUBSTITUTE(SUBSTITUTE(tbl_DynDB_JOB_METADATA[[#This Row],[TransformationQuery]], "\n", CHAR(10)), CHAR(34), ""))</f>
        <v>Select src.* FROM SOURCE src</v>
      </c>
    </row>
    <row r="67" spans="1:35" x14ac:dyDescent="0.2">
      <c r="A67" s="21" t="s">
        <v>366</v>
      </c>
      <c r="B67" s="21" t="s">
        <v>60</v>
      </c>
      <c r="C67" s="21" t="s">
        <v>367</v>
      </c>
      <c r="D67" s="21" t="s">
        <v>62</v>
      </c>
      <c r="E67" s="21" t="s">
        <v>63</v>
      </c>
      <c r="F67" s="21" t="s">
        <v>368</v>
      </c>
      <c r="G67" s="21" t="s">
        <v>19</v>
      </c>
      <c r="H67" s="21" t="s">
        <v>66</v>
      </c>
      <c r="I67" s="21" t="s">
        <v>60</v>
      </c>
      <c r="J67" s="21" t="s">
        <v>63</v>
      </c>
      <c r="K67" s="21" t="s">
        <v>369</v>
      </c>
      <c r="L67" s="21" t="s">
        <v>370</v>
      </c>
      <c r="M67" s="20">
        <v>500</v>
      </c>
      <c r="N67" s="20">
        <v>500</v>
      </c>
      <c r="O67" s="21" t="s">
        <v>66</v>
      </c>
      <c r="P67" s="21" t="s">
        <v>151</v>
      </c>
      <c r="Q67" s="21" t="s">
        <v>63</v>
      </c>
      <c r="R67" s="21" t="s">
        <v>70</v>
      </c>
      <c r="S67" s="21" t="s">
        <v>70</v>
      </c>
      <c r="T67" s="21" t="s">
        <v>63</v>
      </c>
      <c r="U67" s="21" t="s">
        <v>62</v>
      </c>
      <c r="V67" s="21" t="s">
        <v>63</v>
      </c>
      <c r="W67" s="21" t="s">
        <v>71</v>
      </c>
      <c r="X67" s="21" t="s">
        <v>72</v>
      </c>
      <c r="Y67" s="21" t="s">
        <v>63</v>
      </c>
      <c r="Z67" s="21" t="s">
        <v>371</v>
      </c>
      <c r="AA67" s="21" t="s">
        <v>372</v>
      </c>
      <c r="AB67" s="21" t="s">
        <v>75</v>
      </c>
      <c r="AF67" t="str">
        <f t="shared" si="0"/>
        <v>Map_InputSource</v>
      </c>
      <c r="AG67" t="str">
        <f t="shared" si="1"/>
        <v>EBEX</v>
      </c>
      <c r="AI67" s="4" t="str">
        <f>_xlfn.VALUETOTEXT(SUBSTITUTE(SUBSTITUTE(tbl_DynDB_JOB_METADATA[[#This Row],[TransformationQuery]], "\n", CHAR(10)), CHAR(34), ""))</f>
        <v xml:space="preserve">SELECT 
  DISTINCT CAST(src.input_source_id AS INTEGER) AS input_source_id, 
  CAST(src.input_source AS STRING) AS input_source, 
  CAST(src.input_source_type AS STRING) AS input_source_type , 
  CAST(src.required AS STRING) AS required, 
  CAST(src.frequency AS STRING) AS frequency, 
  CAST(src.description AS STRING) AS description 
FROM 
  SOURCE src
</v>
      </c>
    </row>
    <row r="68" spans="1:35" x14ac:dyDescent="0.2">
      <c r="A68" s="21" t="s">
        <v>373</v>
      </c>
      <c r="B68" s="21" t="s">
        <v>60</v>
      </c>
      <c r="C68" s="21" t="s">
        <v>369</v>
      </c>
      <c r="D68" s="21" t="s">
        <v>62</v>
      </c>
      <c r="E68" s="21" t="s">
        <v>77</v>
      </c>
      <c r="F68" s="21" t="s">
        <v>374</v>
      </c>
      <c r="G68" s="21" t="s">
        <v>19</v>
      </c>
      <c r="H68" s="21" t="s">
        <v>79</v>
      </c>
      <c r="I68" s="21" t="s">
        <v>63</v>
      </c>
      <c r="J68" s="21" t="s">
        <v>63</v>
      </c>
      <c r="K68" s="21" t="s">
        <v>63</v>
      </c>
      <c r="L68" s="21" t="s">
        <v>375</v>
      </c>
      <c r="M68" s="20">
        <v>500</v>
      </c>
      <c r="N68" s="20">
        <v>500</v>
      </c>
      <c r="O68" s="21" t="s">
        <v>66</v>
      </c>
      <c r="P68" s="21" t="s">
        <v>151</v>
      </c>
      <c r="Q68" s="21" t="s">
        <v>63</v>
      </c>
      <c r="R68" s="21" t="s">
        <v>70</v>
      </c>
      <c r="S68" s="21" t="s">
        <v>70</v>
      </c>
      <c r="T68" s="21" t="s">
        <v>63</v>
      </c>
      <c r="U68" s="21" t="s">
        <v>62</v>
      </c>
      <c r="V68" s="21" t="s">
        <v>63</v>
      </c>
      <c r="W68" s="21" t="s">
        <v>71</v>
      </c>
      <c r="X68" s="21" t="s">
        <v>72</v>
      </c>
      <c r="Y68" s="21" t="s">
        <v>63</v>
      </c>
      <c r="Z68" s="21" t="s">
        <v>366</v>
      </c>
      <c r="AA68" s="21" t="s">
        <v>81</v>
      </c>
      <c r="AB68" s="21" t="s">
        <v>75</v>
      </c>
      <c r="AF68" t="str">
        <f t="shared" si="0"/>
        <v>Map_InputSource</v>
      </c>
      <c r="AG68" t="str">
        <f t="shared" si="1"/>
        <v>ELEB</v>
      </c>
      <c r="AI68" s="4" t="str">
        <f>_xlfn.VALUETOTEXT(SUBSTITUTE(SUBSTITUTE(tbl_DynDB_JOB_METADATA[[#This Row],[TransformationQuery]], "\n", CHAR(10)), CHAR(34), ""))</f>
        <v>Select src.* FROM SOURCE src</v>
      </c>
    </row>
    <row r="69" spans="1:35" x14ac:dyDescent="0.2">
      <c r="A69" s="21" t="s">
        <v>371</v>
      </c>
      <c r="B69" s="21" t="s">
        <v>94</v>
      </c>
      <c r="C69" s="21" t="s">
        <v>376</v>
      </c>
      <c r="D69" s="21" t="s">
        <v>62</v>
      </c>
      <c r="E69" s="21" t="s">
        <v>63</v>
      </c>
      <c r="F69" s="21" t="s">
        <v>377</v>
      </c>
      <c r="G69" s="21" t="s">
        <v>19</v>
      </c>
      <c r="H69" s="21" t="s">
        <v>66</v>
      </c>
      <c r="I69" s="21" t="s">
        <v>60</v>
      </c>
      <c r="J69" s="21" t="s">
        <v>63</v>
      </c>
      <c r="K69" s="21" t="s">
        <v>367</v>
      </c>
      <c r="L69" s="21" t="s">
        <v>378</v>
      </c>
      <c r="M69" s="20">
        <v>500</v>
      </c>
      <c r="N69" s="20">
        <v>500</v>
      </c>
      <c r="O69" s="21" t="s">
        <v>66</v>
      </c>
      <c r="P69" s="21" t="s">
        <v>151</v>
      </c>
      <c r="Q69" s="21" t="s">
        <v>63</v>
      </c>
      <c r="R69" s="21" t="s">
        <v>70</v>
      </c>
      <c r="S69" s="21" t="s">
        <v>100</v>
      </c>
      <c r="T69" s="21" t="s">
        <v>63</v>
      </c>
      <c r="U69" s="21" t="s">
        <v>62</v>
      </c>
      <c r="V69" s="21" t="s">
        <v>63</v>
      </c>
      <c r="W69" s="21" t="s">
        <v>71</v>
      </c>
      <c r="X69" s="21" t="s">
        <v>72</v>
      </c>
      <c r="Y69" s="21" t="s">
        <v>63</v>
      </c>
      <c r="Z69" s="21" t="s">
        <v>379</v>
      </c>
      <c r="AA69" s="21" t="s">
        <v>81</v>
      </c>
      <c r="AB69" s="21" t="s">
        <v>75</v>
      </c>
      <c r="AF69" t="str">
        <f t="shared" si="0"/>
        <v>Map_InputSource</v>
      </c>
      <c r="AG69" t="str">
        <f t="shared" si="1"/>
        <v>EXCC</v>
      </c>
      <c r="AI69" s="4" t="str">
        <f>_xlfn.VALUETOTEXT(SUBSTITUTE(SUBSTITUTE(tbl_DynDB_JOB_METADATA[[#This Row],[TransformationQuery]], "\n", CHAR(10)), CHAR(34), ""))</f>
        <v>Select src.* FROM SOURCE src</v>
      </c>
    </row>
    <row r="70" spans="1:35" x14ac:dyDescent="0.2">
      <c r="A70" s="21" t="s">
        <v>380</v>
      </c>
      <c r="B70" s="21" t="s">
        <v>60</v>
      </c>
      <c r="C70" s="21" t="s">
        <v>381</v>
      </c>
      <c r="D70" s="21" t="s">
        <v>62</v>
      </c>
      <c r="E70" s="21" t="s">
        <v>63</v>
      </c>
      <c r="F70" s="21" t="s">
        <v>382</v>
      </c>
      <c r="G70" s="21" t="s">
        <v>24</v>
      </c>
      <c r="H70" s="21" t="s">
        <v>66</v>
      </c>
      <c r="I70" s="21" t="s">
        <v>60</v>
      </c>
      <c r="J70" s="21" t="s">
        <v>63</v>
      </c>
      <c r="K70" s="21" t="s">
        <v>383</v>
      </c>
      <c r="L70" s="21" t="s">
        <v>384</v>
      </c>
      <c r="M70" s="20">
        <v>500</v>
      </c>
      <c r="N70" s="20">
        <v>500</v>
      </c>
      <c r="O70" s="21" t="s">
        <v>66</v>
      </c>
      <c r="P70" s="21" t="s">
        <v>151</v>
      </c>
      <c r="Q70" s="21" t="s">
        <v>63</v>
      </c>
      <c r="R70" s="21" t="s">
        <v>70</v>
      </c>
      <c r="S70" s="21" t="s">
        <v>70</v>
      </c>
      <c r="T70" s="21" t="s">
        <v>63</v>
      </c>
      <c r="U70" s="21" t="s">
        <v>62</v>
      </c>
      <c r="V70" s="21" t="s">
        <v>63</v>
      </c>
      <c r="W70" s="21" t="s">
        <v>71</v>
      </c>
      <c r="X70" s="21" t="s">
        <v>72</v>
      </c>
      <c r="Y70" s="21" t="s">
        <v>63</v>
      </c>
      <c r="Z70" s="21" t="s">
        <v>385</v>
      </c>
      <c r="AA70" s="21" t="s">
        <v>386</v>
      </c>
      <c r="AB70" s="21" t="s">
        <v>75</v>
      </c>
      <c r="AF70" t="str">
        <f t="shared" si="0"/>
        <v>Map_InsCode</v>
      </c>
      <c r="AG70" t="str">
        <f t="shared" si="1"/>
        <v>EBEX</v>
      </c>
      <c r="AI70" s="4" t="str">
        <f>_xlfn.VALUETOTEXT(SUBSTITUTE(SUBSTITUTE(tbl_DynDB_JOB_METADATA[[#This Row],[TransformationQuery]], "\n", CHAR(10)), CHAR(34), ""))</f>
        <v>SELECT 
  DISTINCT CAST(sch.dca_id AS INTEGER) AS dca_id, 
  CAST(sch.dca_ledger_code AS STRING) AS dca_ledger_code, 
  CAST(sch.dca AS STRING) AS dca
FROM 
  SOURCE sch</v>
      </c>
    </row>
    <row r="71" spans="1:35" x14ac:dyDescent="0.2">
      <c r="A71" s="21" t="s">
        <v>387</v>
      </c>
      <c r="B71" s="21" t="s">
        <v>60</v>
      </c>
      <c r="C71" s="21" t="s">
        <v>383</v>
      </c>
      <c r="D71" s="21" t="s">
        <v>62</v>
      </c>
      <c r="E71" s="21" t="s">
        <v>77</v>
      </c>
      <c r="F71" s="21" t="s">
        <v>388</v>
      </c>
      <c r="G71" s="21" t="s">
        <v>24</v>
      </c>
      <c r="H71" s="21" t="s">
        <v>79</v>
      </c>
      <c r="I71" s="21" t="s">
        <v>63</v>
      </c>
      <c r="J71" s="21" t="s">
        <v>63</v>
      </c>
      <c r="K71" s="21" t="s">
        <v>63</v>
      </c>
      <c r="L71" s="21" t="s">
        <v>389</v>
      </c>
      <c r="M71" s="20">
        <v>500</v>
      </c>
      <c r="N71" s="20">
        <v>500</v>
      </c>
      <c r="O71" s="21" t="s">
        <v>66</v>
      </c>
      <c r="P71" s="21" t="s">
        <v>151</v>
      </c>
      <c r="Q71" s="21" t="s">
        <v>63</v>
      </c>
      <c r="R71" s="21" t="s">
        <v>70</v>
      </c>
      <c r="S71" s="21" t="s">
        <v>70</v>
      </c>
      <c r="T71" s="21" t="s">
        <v>63</v>
      </c>
      <c r="U71" s="21" t="s">
        <v>62</v>
      </c>
      <c r="V71" s="21" t="s">
        <v>63</v>
      </c>
      <c r="W71" s="21" t="s">
        <v>71</v>
      </c>
      <c r="X71" s="21" t="s">
        <v>72</v>
      </c>
      <c r="Y71" s="21" t="s">
        <v>63</v>
      </c>
      <c r="Z71" s="21" t="s">
        <v>380</v>
      </c>
      <c r="AA71" s="21" t="s">
        <v>81</v>
      </c>
      <c r="AB71" s="21" t="s">
        <v>75</v>
      </c>
      <c r="AF71" t="str">
        <f t="shared" si="0"/>
        <v>Map_InsCode</v>
      </c>
      <c r="AG71" t="str">
        <f t="shared" si="1"/>
        <v>ELEB</v>
      </c>
      <c r="AI71" s="4" t="str">
        <f>_xlfn.VALUETOTEXT(SUBSTITUTE(SUBSTITUTE(tbl_DynDB_JOB_METADATA[[#This Row],[TransformationQuery]], "\n", CHAR(10)), CHAR(34), ""))</f>
        <v>Select src.* FROM SOURCE src</v>
      </c>
    </row>
    <row r="72" spans="1:35" x14ac:dyDescent="0.2">
      <c r="A72" s="21" t="s">
        <v>385</v>
      </c>
      <c r="B72" s="21" t="s">
        <v>94</v>
      </c>
      <c r="C72" s="21" t="s">
        <v>390</v>
      </c>
      <c r="D72" s="21" t="s">
        <v>62</v>
      </c>
      <c r="E72" s="21" t="s">
        <v>63</v>
      </c>
      <c r="F72" s="21" t="s">
        <v>391</v>
      </c>
      <c r="G72" s="21" t="s">
        <v>24</v>
      </c>
      <c r="H72" s="21" t="s">
        <v>66</v>
      </c>
      <c r="I72" s="21" t="s">
        <v>60</v>
      </c>
      <c r="J72" s="21" t="s">
        <v>63</v>
      </c>
      <c r="K72" s="21" t="s">
        <v>381</v>
      </c>
      <c r="L72" s="21" t="s">
        <v>392</v>
      </c>
      <c r="M72" s="20">
        <v>500</v>
      </c>
      <c r="N72" s="20">
        <v>500</v>
      </c>
      <c r="O72" s="21" t="s">
        <v>66</v>
      </c>
      <c r="P72" s="21" t="s">
        <v>151</v>
      </c>
      <c r="Q72" s="21" t="s">
        <v>63</v>
      </c>
      <c r="R72" s="21" t="s">
        <v>70</v>
      </c>
      <c r="S72" s="21" t="s">
        <v>100</v>
      </c>
      <c r="T72" s="21" t="s">
        <v>63</v>
      </c>
      <c r="U72" s="21" t="s">
        <v>62</v>
      </c>
      <c r="V72" s="21" t="s">
        <v>63</v>
      </c>
      <c r="W72" s="21" t="s">
        <v>71</v>
      </c>
      <c r="X72" s="21" t="s">
        <v>72</v>
      </c>
      <c r="Y72" s="21" t="s">
        <v>63</v>
      </c>
      <c r="Z72" s="21" t="s">
        <v>393</v>
      </c>
      <c r="AA72" s="21" t="s">
        <v>81</v>
      </c>
      <c r="AB72" s="21" t="s">
        <v>75</v>
      </c>
      <c r="AF72" t="str">
        <f t="shared" ref="AF72:AF110" si="2">G72</f>
        <v>Map_InsCode</v>
      </c>
      <c r="AG72" t="str">
        <f t="shared" ref="AG72:AG110" si="3">RIGHT(A72,4)</f>
        <v>EXCC</v>
      </c>
      <c r="AI72" s="4" t="str">
        <f>_xlfn.VALUETOTEXT(SUBSTITUTE(SUBSTITUTE(tbl_DynDB_JOB_METADATA[[#This Row],[TransformationQuery]], "\n", CHAR(10)), CHAR(34), ""))</f>
        <v>Select src.* FROM SOURCE src</v>
      </c>
    </row>
    <row r="73" spans="1:35" x14ac:dyDescent="0.2">
      <c r="A73" s="21" t="s">
        <v>394</v>
      </c>
      <c r="B73" s="21" t="s">
        <v>60</v>
      </c>
      <c r="C73" s="21" t="s">
        <v>395</v>
      </c>
      <c r="D73" s="21" t="s">
        <v>62</v>
      </c>
      <c r="E73" s="21" t="s">
        <v>63</v>
      </c>
      <c r="F73" s="21" t="s">
        <v>396</v>
      </c>
      <c r="G73" s="21" t="s">
        <v>21</v>
      </c>
      <c r="H73" s="21" t="s">
        <v>66</v>
      </c>
      <c r="I73" s="21" t="s">
        <v>60</v>
      </c>
      <c r="J73" s="21" t="s">
        <v>63</v>
      </c>
      <c r="K73" s="21" t="s">
        <v>397</v>
      </c>
      <c r="L73" s="21" t="s">
        <v>398</v>
      </c>
      <c r="M73" s="20">
        <v>500</v>
      </c>
      <c r="N73" s="20">
        <v>500</v>
      </c>
      <c r="O73" s="21" t="s">
        <v>66</v>
      </c>
      <c r="P73" s="21" t="s">
        <v>151</v>
      </c>
      <c r="Q73" s="21" t="s">
        <v>62</v>
      </c>
      <c r="R73" s="21" t="s">
        <v>70</v>
      </c>
      <c r="S73" s="21" t="s">
        <v>70</v>
      </c>
      <c r="T73" s="21" t="s">
        <v>63</v>
      </c>
      <c r="U73" s="21" t="s">
        <v>62</v>
      </c>
      <c r="V73" s="21" t="s">
        <v>63</v>
      </c>
      <c r="W73" s="21" t="s">
        <v>71</v>
      </c>
      <c r="X73" s="21" t="s">
        <v>72</v>
      </c>
      <c r="Y73" s="21" t="s">
        <v>62</v>
      </c>
      <c r="Z73" s="21" t="s">
        <v>399</v>
      </c>
      <c r="AA73" s="21" t="s">
        <v>400</v>
      </c>
      <c r="AB73" s="21" t="s">
        <v>75</v>
      </c>
      <c r="AF73" t="str">
        <f t="shared" si="2"/>
        <v>Map_LE</v>
      </c>
      <c r="AG73" t="str">
        <f t="shared" si="3"/>
        <v>EBEX</v>
      </c>
      <c r="AI73" s="4" t="str">
        <f>_xlfn.VALUETOTEXT(SUBSTITUTE(SUBSTITUTE(tbl_DynDB_JOB_METADATA[[#This Row],[TransformationQuery]], "\n", CHAR(10)), CHAR(34), ""))</f>
        <v>SELECT DISTINCT 
  src.legal_entity, 
  src.le_description,
  src.le_ledger_code,
  src.company
FROM 
  SOURCE src</v>
      </c>
    </row>
    <row r="74" spans="1:35" x14ac:dyDescent="0.2">
      <c r="A74" s="21" t="s">
        <v>401</v>
      </c>
      <c r="B74" s="21" t="s">
        <v>60</v>
      </c>
      <c r="C74" s="21" t="s">
        <v>397</v>
      </c>
      <c r="D74" s="21" t="s">
        <v>62</v>
      </c>
      <c r="E74" s="21" t="s">
        <v>77</v>
      </c>
      <c r="F74" s="21" t="s">
        <v>402</v>
      </c>
      <c r="G74" s="21" t="s">
        <v>21</v>
      </c>
      <c r="H74" s="21" t="s">
        <v>79</v>
      </c>
      <c r="I74" s="21" t="s">
        <v>63</v>
      </c>
      <c r="J74" s="21" t="s">
        <v>63</v>
      </c>
      <c r="K74" s="21" t="s">
        <v>63</v>
      </c>
      <c r="L74" s="21" t="s">
        <v>403</v>
      </c>
      <c r="M74" s="20">
        <v>500</v>
      </c>
      <c r="N74" s="20">
        <v>500</v>
      </c>
      <c r="O74" s="21" t="s">
        <v>66</v>
      </c>
      <c r="P74" s="21" t="s">
        <v>151</v>
      </c>
      <c r="Q74" s="21" t="s">
        <v>62</v>
      </c>
      <c r="R74" s="21" t="s">
        <v>70</v>
      </c>
      <c r="S74" s="21" t="s">
        <v>70</v>
      </c>
      <c r="T74" s="21" t="s">
        <v>63</v>
      </c>
      <c r="U74" s="21" t="s">
        <v>62</v>
      </c>
      <c r="V74" s="21" t="s">
        <v>63</v>
      </c>
      <c r="W74" s="21" t="s">
        <v>71</v>
      </c>
      <c r="X74" s="21" t="s">
        <v>72</v>
      </c>
      <c r="Y74" s="21" t="s">
        <v>63</v>
      </c>
      <c r="Z74" s="21" t="s">
        <v>394</v>
      </c>
      <c r="AA74" s="21" t="s">
        <v>81</v>
      </c>
      <c r="AB74" s="21" t="s">
        <v>75</v>
      </c>
      <c r="AF74" t="str">
        <f t="shared" si="2"/>
        <v>Map_LE</v>
      </c>
      <c r="AG74" t="str">
        <f t="shared" si="3"/>
        <v>ELEB</v>
      </c>
      <c r="AI74" s="4" t="str">
        <f>_xlfn.VALUETOTEXT(SUBSTITUTE(SUBSTITUTE(tbl_DynDB_JOB_METADATA[[#This Row],[TransformationQuery]], "\n", CHAR(10)), CHAR(34), ""))</f>
        <v>Select src.* FROM SOURCE src</v>
      </c>
    </row>
    <row r="75" spans="1:35" x14ac:dyDescent="0.2">
      <c r="A75" s="21" t="s">
        <v>399</v>
      </c>
      <c r="B75" s="21" t="s">
        <v>94</v>
      </c>
      <c r="C75" s="21" t="s">
        <v>404</v>
      </c>
      <c r="D75" s="21" t="s">
        <v>62</v>
      </c>
      <c r="E75" s="21" t="s">
        <v>63</v>
      </c>
      <c r="F75" s="21" t="s">
        <v>405</v>
      </c>
      <c r="G75" s="21" t="s">
        <v>21</v>
      </c>
      <c r="H75" s="21" t="s">
        <v>66</v>
      </c>
      <c r="I75" s="21" t="s">
        <v>60</v>
      </c>
      <c r="J75" s="21" t="s">
        <v>63</v>
      </c>
      <c r="K75" s="21" t="s">
        <v>395</v>
      </c>
      <c r="L75" s="21" t="s">
        <v>406</v>
      </c>
      <c r="M75" s="20">
        <v>500</v>
      </c>
      <c r="N75" s="20">
        <v>500</v>
      </c>
      <c r="O75" s="21" t="s">
        <v>66</v>
      </c>
      <c r="P75" s="21" t="s">
        <v>151</v>
      </c>
      <c r="Q75" s="21" t="s">
        <v>62</v>
      </c>
      <c r="R75" s="21" t="s">
        <v>70</v>
      </c>
      <c r="S75" s="21" t="s">
        <v>100</v>
      </c>
      <c r="T75" s="21" t="s">
        <v>63</v>
      </c>
      <c r="U75" s="21" t="s">
        <v>62</v>
      </c>
      <c r="V75" s="21" t="s">
        <v>63</v>
      </c>
      <c r="W75" s="21" t="s">
        <v>71</v>
      </c>
      <c r="X75" s="21" t="s">
        <v>72</v>
      </c>
      <c r="Y75" s="21" t="s">
        <v>63</v>
      </c>
      <c r="Z75" s="21" t="s">
        <v>407</v>
      </c>
      <c r="AA75" s="21" t="s">
        <v>81</v>
      </c>
      <c r="AB75" s="21" t="s">
        <v>75</v>
      </c>
      <c r="AF75" t="str">
        <f t="shared" si="2"/>
        <v>Map_LE</v>
      </c>
      <c r="AG75" t="str">
        <f t="shared" si="3"/>
        <v>EXCC</v>
      </c>
      <c r="AI75" s="4" t="str">
        <f>_xlfn.VALUETOTEXT(SUBSTITUTE(SUBSTITUTE(tbl_DynDB_JOB_METADATA[[#This Row],[TransformationQuery]], "\n", CHAR(10)), CHAR(34), ""))</f>
        <v>Select src.* FROM SOURCE src</v>
      </c>
    </row>
    <row r="76" spans="1:35" x14ac:dyDescent="0.2">
      <c r="A76" s="21" t="s">
        <v>408</v>
      </c>
      <c r="B76" s="21" t="s">
        <v>60</v>
      </c>
      <c r="C76" s="21" t="s">
        <v>409</v>
      </c>
      <c r="D76" s="21" t="s">
        <v>62</v>
      </c>
      <c r="E76" s="21" t="s">
        <v>63</v>
      </c>
      <c r="F76" s="21" t="s">
        <v>410</v>
      </c>
      <c r="G76" s="21" t="s">
        <v>23</v>
      </c>
      <c r="H76" s="21" t="s">
        <v>66</v>
      </c>
      <c r="I76" s="21" t="s">
        <v>60</v>
      </c>
      <c r="J76" s="21" t="s">
        <v>63</v>
      </c>
      <c r="K76" s="21" t="s">
        <v>411</v>
      </c>
      <c r="L76" s="21" t="s">
        <v>412</v>
      </c>
      <c r="M76" s="20">
        <v>500</v>
      </c>
      <c r="N76" s="20">
        <v>500</v>
      </c>
      <c r="O76" s="21" t="s">
        <v>66</v>
      </c>
      <c r="P76" s="21" t="s">
        <v>151</v>
      </c>
      <c r="Q76" s="21" t="s">
        <v>63</v>
      </c>
      <c r="R76" s="21" t="s">
        <v>70</v>
      </c>
      <c r="S76" s="21" t="s">
        <v>70</v>
      </c>
      <c r="T76" s="21" t="s">
        <v>63</v>
      </c>
      <c r="U76" s="21" t="s">
        <v>62</v>
      </c>
      <c r="V76" s="21" t="s">
        <v>63</v>
      </c>
      <c r="W76" s="21" t="s">
        <v>71</v>
      </c>
      <c r="X76" s="21" t="s">
        <v>72</v>
      </c>
      <c r="Y76" s="21" t="s">
        <v>63</v>
      </c>
      <c r="Z76" s="21" t="s">
        <v>413</v>
      </c>
      <c r="AA76" s="21" t="s">
        <v>414</v>
      </c>
      <c r="AB76" s="21" t="s">
        <v>75</v>
      </c>
      <c r="AF76" t="str">
        <f t="shared" si="2"/>
        <v>Map_ProdType</v>
      </c>
      <c r="AG76" t="str">
        <f t="shared" si="3"/>
        <v>EBEX</v>
      </c>
      <c r="AI76" s="4" t="str">
        <f>_xlfn.VALUETOTEXT(SUBSTITUTE(SUBSTITUTE(tbl_DynDB_JOB_METADATA[[#This Row],[TransformationQuery]], "\n", CHAR(10)), CHAR(34), ""))</f>
        <v>SELECT 
  DISTINCT CAST(sch.prod_type AS STRING) AS prod_type, 
  CAST(sch.major_prod_type AS STRING) AS major_prod_type, 
  CAST(sch.lob AS STRING) AS lob, 
  CAST(sch.prod_type_stat_bs AS STRING) AS prod_type_stat_bs, 
  CAST(sch.prod_type_stat_notes AS STRING) AS prod_type_stat_notes, 
  CAST(sch.fas AS STRING) AS fas, 
  CAST(sch.prod_type_gaap_bs AS STRING) AS prod_type_gaap_bs, 
  CAST(sch.prod_type_moodys AS STRING) AS prod_type_moodys, 
  CAST(sch.prod_type_ambest AS STRING) AS prod_type_ambest, 
  CAST(sch.prod_type_fitch AS STRING) AS prod_type_fitch, 
  CAST(sch.prod_type_sp AS STRING) AS prod_type_sp
FROM 
  SOURCE sch</v>
      </c>
    </row>
    <row r="77" spans="1:35" x14ac:dyDescent="0.2">
      <c r="A77" s="21" t="s">
        <v>415</v>
      </c>
      <c r="B77" s="21" t="s">
        <v>60</v>
      </c>
      <c r="C77" s="21" t="s">
        <v>411</v>
      </c>
      <c r="D77" s="21" t="s">
        <v>62</v>
      </c>
      <c r="E77" s="21" t="s">
        <v>77</v>
      </c>
      <c r="F77" s="21" t="s">
        <v>416</v>
      </c>
      <c r="G77" s="21" t="s">
        <v>23</v>
      </c>
      <c r="H77" s="21" t="s">
        <v>79</v>
      </c>
      <c r="I77" s="21" t="s">
        <v>63</v>
      </c>
      <c r="J77" s="21" t="s">
        <v>63</v>
      </c>
      <c r="K77" s="21" t="s">
        <v>63</v>
      </c>
      <c r="L77" s="21" t="s">
        <v>417</v>
      </c>
      <c r="M77" s="20">
        <v>500</v>
      </c>
      <c r="N77" s="20">
        <v>500</v>
      </c>
      <c r="O77" s="21" t="s">
        <v>66</v>
      </c>
      <c r="P77" s="21" t="s">
        <v>151</v>
      </c>
      <c r="Q77" s="21" t="s">
        <v>63</v>
      </c>
      <c r="R77" s="21" t="s">
        <v>70</v>
      </c>
      <c r="S77" s="21" t="s">
        <v>70</v>
      </c>
      <c r="T77" s="21" t="s">
        <v>63</v>
      </c>
      <c r="U77" s="21" t="s">
        <v>62</v>
      </c>
      <c r="V77" s="21" t="s">
        <v>63</v>
      </c>
      <c r="W77" s="21" t="s">
        <v>71</v>
      </c>
      <c r="X77" s="21" t="s">
        <v>72</v>
      </c>
      <c r="Y77" s="21" t="s">
        <v>63</v>
      </c>
      <c r="Z77" s="21" t="s">
        <v>408</v>
      </c>
      <c r="AA77" s="21" t="s">
        <v>81</v>
      </c>
      <c r="AB77" s="21" t="s">
        <v>75</v>
      </c>
      <c r="AF77" t="str">
        <f t="shared" si="2"/>
        <v>Map_ProdType</v>
      </c>
      <c r="AG77" t="str">
        <f t="shared" si="3"/>
        <v>ELEB</v>
      </c>
      <c r="AI77" s="4" t="str">
        <f>_xlfn.VALUETOTEXT(SUBSTITUTE(SUBSTITUTE(tbl_DynDB_JOB_METADATA[[#This Row],[TransformationQuery]], "\n", CHAR(10)), CHAR(34), ""))</f>
        <v>Select src.* FROM SOURCE src</v>
      </c>
    </row>
    <row r="78" spans="1:35" x14ac:dyDescent="0.2">
      <c r="A78" s="21" t="s">
        <v>413</v>
      </c>
      <c r="B78" s="21" t="s">
        <v>94</v>
      </c>
      <c r="C78" s="21" t="s">
        <v>418</v>
      </c>
      <c r="D78" s="21" t="s">
        <v>62</v>
      </c>
      <c r="E78" s="21" t="s">
        <v>63</v>
      </c>
      <c r="F78" s="21" t="s">
        <v>419</v>
      </c>
      <c r="G78" s="21" t="s">
        <v>23</v>
      </c>
      <c r="H78" s="21" t="s">
        <v>66</v>
      </c>
      <c r="I78" s="21" t="s">
        <v>60</v>
      </c>
      <c r="J78" s="21" t="s">
        <v>63</v>
      </c>
      <c r="K78" s="21" t="s">
        <v>409</v>
      </c>
      <c r="L78" s="21" t="s">
        <v>420</v>
      </c>
      <c r="M78" s="20">
        <v>500</v>
      </c>
      <c r="N78" s="20">
        <v>500</v>
      </c>
      <c r="O78" s="21" t="s">
        <v>66</v>
      </c>
      <c r="P78" s="21" t="s">
        <v>151</v>
      </c>
      <c r="Q78" s="21" t="s">
        <v>63</v>
      </c>
      <c r="R78" s="21" t="s">
        <v>70</v>
      </c>
      <c r="S78" s="21" t="s">
        <v>100</v>
      </c>
      <c r="T78" s="21" t="s">
        <v>63</v>
      </c>
      <c r="U78" s="21" t="s">
        <v>62</v>
      </c>
      <c r="V78" s="21" t="s">
        <v>63</v>
      </c>
      <c r="W78" s="21" t="s">
        <v>71</v>
      </c>
      <c r="X78" s="21" t="s">
        <v>72</v>
      </c>
      <c r="Y78" s="21" t="s">
        <v>63</v>
      </c>
      <c r="Z78" s="21" t="s">
        <v>421</v>
      </c>
      <c r="AA78" s="21" t="s">
        <v>81</v>
      </c>
      <c r="AB78" s="21" t="s">
        <v>75</v>
      </c>
      <c r="AF78" t="str">
        <f t="shared" si="2"/>
        <v>Map_ProdType</v>
      </c>
      <c r="AG78" t="str">
        <f t="shared" si="3"/>
        <v>EXCC</v>
      </c>
      <c r="AI78" s="4" t="str">
        <f>_xlfn.VALUETOTEXT(SUBSTITUTE(SUBSTITUTE(tbl_DynDB_JOB_METADATA[[#This Row],[TransformationQuery]], "\n", CHAR(10)), CHAR(34), ""))</f>
        <v>Select src.* FROM SOURCE src</v>
      </c>
    </row>
    <row r="79" spans="1:35" x14ac:dyDescent="0.2">
      <c r="A79" s="21" t="s">
        <v>422</v>
      </c>
      <c r="B79" s="21" t="s">
        <v>60</v>
      </c>
      <c r="C79" s="21" t="s">
        <v>423</v>
      </c>
      <c r="D79" s="21" t="s">
        <v>62</v>
      </c>
      <c r="E79" s="21" t="s">
        <v>63</v>
      </c>
      <c r="F79" s="21" t="s">
        <v>424</v>
      </c>
      <c r="G79" s="21" t="s">
        <v>22</v>
      </c>
      <c r="H79" s="21" t="s">
        <v>66</v>
      </c>
      <c r="I79" s="21" t="s">
        <v>60</v>
      </c>
      <c r="J79" s="21" t="s">
        <v>63</v>
      </c>
      <c r="K79" s="21" t="s">
        <v>425</v>
      </c>
      <c r="L79" s="21" t="s">
        <v>426</v>
      </c>
      <c r="M79" s="20">
        <v>500</v>
      </c>
      <c r="N79" s="20">
        <v>500</v>
      </c>
      <c r="O79" s="21" t="s">
        <v>66</v>
      </c>
      <c r="P79" s="21" t="s">
        <v>151</v>
      </c>
      <c r="Q79" s="21" t="s">
        <v>63</v>
      </c>
      <c r="R79" s="21" t="s">
        <v>70</v>
      </c>
      <c r="S79" s="21" t="s">
        <v>70</v>
      </c>
      <c r="T79" s="21" t="s">
        <v>63</v>
      </c>
      <c r="U79" s="21" t="s">
        <v>62</v>
      </c>
      <c r="V79" s="21" t="s">
        <v>63</v>
      </c>
      <c r="W79" s="21" t="s">
        <v>71</v>
      </c>
      <c r="X79" s="21" t="s">
        <v>72</v>
      </c>
      <c r="Y79" s="21" t="s">
        <v>63</v>
      </c>
      <c r="Z79" s="21" t="s">
        <v>427</v>
      </c>
      <c r="AA79" s="21" t="s">
        <v>428</v>
      </c>
      <c r="AB79" s="21" t="s">
        <v>75</v>
      </c>
      <c r="AF79" t="str">
        <f t="shared" si="2"/>
        <v>Map_Product</v>
      </c>
      <c r="AG79" t="str">
        <f t="shared" si="3"/>
        <v>EBEX</v>
      </c>
      <c r="AI79" s="4" t="str">
        <f>_xlfn.VALUETOTEXT(SUBSTITUTE(SUBSTITUTE(tbl_DynDB_JOB_METADATA[[#This Row],[TransformationQuery]], "\n", CHAR(10)), CHAR(34), ""))</f>
        <v>SELECT 
  DISTINCT CAST(src.product_code AS INTEGER) AS product_code, 
  CAST(src.product_description AS STRING) AS product_description, 
 src.product
FROM 
  SOURCE src</v>
      </c>
    </row>
    <row r="80" spans="1:35" x14ac:dyDescent="0.2">
      <c r="A80" s="21" t="s">
        <v>429</v>
      </c>
      <c r="B80" s="21" t="s">
        <v>60</v>
      </c>
      <c r="C80" s="21" t="s">
        <v>425</v>
      </c>
      <c r="D80" s="21" t="s">
        <v>62</v>
      </c>
      <c r="E80" s="21" t="s">
        <v>77</v>
      </c>
      <c r="F80" s="21" t="s">
        <v>430</v>
      </c>
      <c r="G80" s="21" t="s">
        <v>22</v>
      </c>
      <c r="H80" s="21" t="s">
        <v>79</v>
      </c>
      <c r="I80" s="21" t="s">
        <v>63</v>
      </c>
      <c r="J80" s="21" t="s">
        <v>63</v>
      </c>
      <c r="K80" s="21" t="s">
        <v>63</v>
      </c>
      <c r="L80" s="21" t="s">
        <v>431</v>
      </c>
      <c r="M80" s="20">
        <v>500</v>
      </c>
      <c r="N80" s="20">
        <v>500</v>
      </c>
      <c r="O80" s="21" t="s">
        <v>66</v>
      </c>
      <c r="P80" s="21" t="s">
        <v>151</v>
      </c>
      <c r="Q80" s="21" t="s">
        <v>63</v>
      </c>
      <c r="R80" s="21" t="s">
        <v>70</v>
      </c>
      <c r="S80" s="21" t="s">
        <v>70</v>
      </c>
      <c r="T80" s="21" t="s">
        <v>63</v>
      </c>
      <c r="U80" s="21" t="s">
        <v>62</v>
      </c>
      <c r="V80" s="21" t="s">
        <v>63</v>
      </c>
      <c r="W80" s="21" t="s">
        <v>71</v>
      </c>
      <c r="X80" s="21" t="s">
        <v>72</v>
      </c>
      <c r="Y80" s="21" t="s">
        <v>63</v>
      </c>
      <c r="Z80" s="21" t="s">
        <v>422</v>
      </c>
      <c r="AA80" s="21" t="s">
        <v>81</v>
      </c>
      <c r="AB80" s="21" t="s">
        <v>75</v>
      </c>
      <c r="AF80" t="str">
        <f t="shared" si="2"/>
        <v>Map_Product</v>
      </c>
      <c r="AG80" t="str">
        <f t="shared" si="3"/>
        <v>ELEB</v>
      </c>
      <c r="AI80" s="4" t="str">
        <f>_xlfn.VALUETOTEXT(SUBSTITUTE(SUBSTITUTE(tbl_DynDB_JOB_METADATA[[#This Row],[TransformationQuery]], "\n", CHAR(10)), CHAR(34), ""))</f>
        <v>Select src.* FROM SOURCE src</v>
      </c>
    </row>
    <row r="81" spans="1:35" x14ac:dyDescent="0.2">
      <c r="A81" s="21" t="s">
        <v>427</v>
      </c>
      <c r="B81" s="21" t="s">
        <v>94</v>
      </c>
      <c r="C81" s="21" t="s">
        <v>432</v>
      </c>
      <c r="D81" s="21" t="s">
        <v>62</v>
      </c>
      <c r="E81" s="21" t="s">
        <v>63</v>
      </c>
      <c r="F81" s="21" t="s">
        <v>433</v>
      </c>
      <c r="G81" s="21" t="s">
        <v>22</v>
      </c>
      <c r="H81" s="21" t="s">
        <v>66</v>
      </c>
      <c r="I81" s="21" t="s">
        <v>60</v>
      </c>
      <c r="J81" s="21" t="s">
        <v>63</v>
      </c>
      <c r="K81" s="21" t="s">
        <v>423</v>
      </c>
      <c r="L81" s="21" t="s">
        <v>434</v>
      </c>
      <c r="M81" s="20">
        <v>500</v>
      </c>
      <c r="N81" s="20">
        <v>500</v>
      </c>
      <c r="O81" s="21" t="s">
        <v>66</v>
      </c>
      <c r="P81" s="21" t="s">
        <v>151</v>
      </c>
      <c r="Q81" s="21" t="s">
        <v>63</v>
      </c>
      <c r="R81" s="21" t="s">
        <v>70</v>
      </c>
      <c r="S81" s="21" t="s">
        <v>100</v>
      </c>
      <c r="T81" s="21" t="s">
        <v>63</v>
      </c>
      <c r="U81" s="21" t="s">
        <v>62</v>
      </c>
      <c r="V81" s="21" t="s">
        <v>63</v>
      </c>
      <c r="W81" s="21" t="s">
        <v>71</v>
      </c>
      <c r="X81" s="21" t="s">
        <v>72</v>
      </c>
      <c r="Y81" s="21" t="s">
        <v>63</v>
      </c>
      <c r="Z81" s="21" t="s">
        <v>435</v>
      </c>
      <c r="AA81" s="21" t="s">
        <v>81</v>
      </c>
      <c r="AB81" s="21" t="s">
        <v>75</v>
      </c>
      <c r="AF81" t="str">
        <f t="shared" si="2"/>
        <v>Map_Product</v>
      </c>
      <c r="AG81" t="str">
        <f t="shared" si="3"/>
        <v>EXCC</v>
      </c>
      <c r="AI81" s="4" t="str">
        <f>_xlfn.VALUETOTEXT(SUBSTITUTE(SUBSTITUTE(tbl_DynDB_JOB_METADATA[[#This Row],[TransformationQuery]], "\n", CHAR(10)), CHAR(34), ""))</f>
        <v>Select src.* FROM SOURCE src</v>
      </c>
    </row>
    <row r="82" spans="1:35" x14ac:dyDescent="0.2">
      <c r="A82" s="21" t="s">
        <v>436</v>
      </c>
      <c r="B82" s="21" t="s">
        <v>60</v>
      </c>
      <c r="C82" s="21" t="s">
        <v>437</v>
      </c>
      <c r="D82" s="21" t="s">
        <v>62</v>
      </c>
      <c r="E82" s="21" t="s">
        <v>63</v>
      </c>
      <c r="F82" s="21" t="s">
        <v>438</v>
      </c>
      <c r="G82" s="21" t="s">
        <v>439</v>
      </c>
      <c r="H82" s="21" t="s">
        <v>66</v>
      </c>
      <c r="I82" s="21" t="s">
        <v>60</v>
      </c>
      <c r="J82" s="21" t="s">
        <v>63</v>
      </c>
      <c r="K82" s="21" t="s">
        <v>440</v>
      </c>
      <c r="L82" s="21" t="s">
        <v>441</v>
      </c>
      <c r="M82" s="20">
        <v>500</v>
      </c>
      <c r="N82" s="20">
        <v>500</v>
      </c>
      <c r="O82" s="21" t="s">
        <v>66</v>
      </c>
      <c r="P82" s="21" t="s">
        <v>151</v>
      </c>
      <c r="Q82" s="21" t="s">
        <v>63</v>
      </c>
      <c r="R82" s="21" t="s">
        <v>70</v>
      </c>
      <c r="S82" s="21" t="s">
        <v>70</v>
      </c>
      <c r="T82" s="21" t="s">
        <v>63</v>
      </c>
      <c r="U82" s="21" t="s">
        <v>62</v>
      </c>
      <c r="V82" s="21" t="s">
        <v>63</v>
      </c>
      <c r="W82" s="21" t="s">
        <v>71</v>
      </c>
      <c r="X82" s="21" t="s">
        <v>72</v>
      </c>
      <c r="Y82" s="21" t="s">
        <v>63</v>
      </c>
      <c r="Z82" s="21" t="s">
        <v>442</v>
      </c>
      <c r="AA82" s="21" t="s">
        <v>443</v>
      </c>
      <c r="AB82" s="21" t="s">
        <v>75</v>
      </c>
      <c r="AF82" t="str">
        <f t="shared" si="2"/>
        <v>Map_Reported</v>
      </c>
      <c r="AG82" t="str">
        <f t="shared" si="3"/>
        <v>EBEX</v>
      </c>
      <c r="AI82" s="4" t="str">
        <f>_xlfn.VALUETOTEXT(SUBSTITUTE(SUBSTITUTE(tbl_DynDB_JOB_METADATA[[#This Row],[TransformationQuery]], "\n", CHAR(10)), CHAR(34), ""))</f>
        <v xml:space="preserve">SELECT 
  valuation_block, 
  company, 
  entry_type_rptd 
FROM 
  SOURCE
</v>
      </c>
    </row>
    <row r="83" spans="1:35" x14ac:dyDescent="0.2">
      <c r="A83" s="21" t="s">
        <v>444</v>
      </c>
      <c r="B83" s="21" t="s">
        <v>60</v>
      </c>
      <c r="C83" s="21" t="s">
        <v>440</v>
      </c>
      <c r="D83" s="21" t="s">
        <v>62</v>
      </c>
      <c r="E83" s="21" t="s">
        <v>77</v>
      </c>
      <c r="F83" s="21" t="s">
        <v>445</v>
      </c>
      <c r="G83" s="21" t="s">
        <v>439</v>
      </c>
      <c r="H83" s="21" t="s">
        <v>79</v>
      </c>
      <c r="I83" s="21" t="s">
        <v>63</v>
      </c>
      <c r="J83" s="21" t="s">
        <v>63</v>
      </c>
      <c r="K83" s="21" t="s">
        <v>63</v>
      </c>
      <c r="L83" s="21" t="s">
        <v>446</v>
      </c>
      <c r="M83" s="20">
        <v>500</v>
      </c>
      <c r="N83" s="20">
        <v>500</v>
      </c>
      <c r="O83" s="21" t="s">
        <v>66</v>
      </c>
      <c r="P83" s="21" t="s">
        <v>151</v>
      </c>
      <c r="Q83" s="21" t="s">
        <v>63</v>
      </c>
      <c r="R83" s="21" t="s">
        <v>70</v>
      </c>
      <c r="S83" s="21" t="s">
        <v>70</v>
      </c>
      <c r="T83" s="21" t="s">
        <v>63</v>
      </c>
      <c r="U83" s="21" t="s">
        <v>62</v>
      </c>
      <c r="V83" s="21" t="s">
        <v>63</v>
      </c>
      <c r="W83" s="21" t="s">
        <v>71</v>
      </c>
      <c r="X83" s="21" t="s">
        <v>72</v>
      </c>
      <c r="Y83" s="21" t="s">
        <v>63</v>
      </c>
      <c r="Z83" s="21" t="s">
        <v>436</v>
      </c>
      <c r="AA83" s="21" t="s">
        <v>81</v>
      </c>
      <c r="AB83" s="21" t="s">
        <v>75</v>
      </c>
      <c r="AF83" t="str">
        <f t="shared" si="2"/>
        <v>Map_Reported</v>
      </c>
      <c r="AG83" t="str">
        <f t="shared" si="3"/>
        <v>ELEB</v>
      </c>
      <c r="AI83" s="4" t="str">
        <f>_xlfn.VALUETOTEXT(SUBSTITUTE(SUBSTITUTE(tbl_DynDB_JOB_METADATA[[#This Row],[TransformationQuery]], "\n", CHAR(10)), CHAR(34), ""))</f>
        <v>Select src.* FROM SOURCE src</v>
      </c>
    </row>
    <row r="84" spans="1:35" x14ac:dyDescent="0.2">
      <c r="A84" s="21" t="s">
        <v>442</v>
      </c>
      <c r="B84" s="21" t="s">
        <v>94</v>
      </c>
      <c r="C84" s="21" t="s">
        <v>447</v>
      </c>
      <c r="D84" s="21" t="s">
        <v>62</v>
      </c>
      <c r="E84" s="21" t="s">
        <v>63</v>
      </c>
      <c r="F84" s="21" t="s">
        <v>448</v>
      </c>
      <c r="G84" s="21" t="s">
        <v>439</v>
      </c>
      <c r="H84" s="21" t="s">
        <v>66</v>
      </c>
      <c r="I84" s="21" t="s">
        <v>60</v>
      </c>
      <c r="J84" s="21" t="s">
        <v>63</v>
      </c>
      <c r="K84" s="21" t="s">
        <v>437</v>
      </c>
      <c r="L84" s="21" t="s">
        <v>449</v>
      </c>
      <c r="M84" s="20">
        <v>500</v>
      </c>
      <c r="N84" s="20">
        <v>500</v>
      </c>
      <c r="O84" s="21" t="s">
        <v>66</v>
      </c>
      <c r="P84" s="21" t="s">
        <v>151</v>
      </c>
      <c r="Q84" s="21" t="s">
        <v>63</v>
      </c>
      <c r="R84" s="21" t="s">
        <v>70</v>
      </c>
      <c r="S84" s="21" t="s">
        <v>100</v>
      </c>
      <c r="T84" s="21" t="s">
        <v>63</v>
      </c>
      <c r="U84" s="21" t="s">
        <v>62</v>
      </c>
      <c r="V84" s="21" t="s">
        <v>63</v>
      </c>
      <c r="W84" s="21" t="s">
        <v>71</v>
      </c>
      <c r="X84" s="21" t="s">
        <v>72</v>
      </c>
      <c r="Y84" s="21" t="s">
        <v>63</v>
      </c>
      <c r="Z84" s="21" t="s">
        <v>450</v>
      </c>
      <c r="AA84" s="21" t="s">
        <v>81</v>
      </c>
      <c r="AB84" s="21" t="s">
        <v>75</v>
      </c>
      <c r="AF84" t="str">
        <f t="shared" si="2"/>
        <v>Map_Reported</v>
      </c>
      <c r="AG84" t="str">
        <f t="shared" si="3"/>
        <v>EXCC</v>
      </c>
      <c r="AI84" s="4" t="str">
        <f>_xlfn.VALUETOTEXT(SUBSTITUTE(SUBSTITUTE(tbl_DynDB_JOB_METADATA[[#This Row],[TransformationQuery]], "\n", CHAR(10)), CHAR(34), ""))</f>
        <v>Select src.* FROM SOURCE src</v>
      </c>
    </row>
    <row r="85" spans="1:35" x14ac:dyDescent="0.2">
      <c r="A85" s="21" t="s">
        <v>451</v>
      </c>
      <c r="B85" s="21" t="s">
        <v>60</v>
      </c>
      <c r="C85" s="21" t="s">
        <v>452</v>
      </c>
      <c r="D85" s="21" t="s">
        <v>62</v>
      </c>
      <c r="E85" s="21" t="s">
        <v>63</v>
      </c>
      <c r="F85" s="21" t="s">
        <v>453</v>
      </c>
      <c r="G85" s="21" t="s">
        <v>25</v>
      </c>
      <c r="H85" s="21" t="s">
        <v>66</v>
      </c>
      <c r="I85" s="21" t="s">
        <v>60</v>
      </c>
      <c r="J85" s="21" t="s">
        <v>63</v>
      </c>
      <c r="K85" s="21" t="s">
        <v>454</v>
      </c>
      <c r="L85" s="21" t="s">
        <v>455</v>
      </c>
      <c r="M85" s="20">
        <v>500</v>
      </c>
      <c r="N85" s="20">
        <v>500</v>
      </c>
      <c r="O85" s="21" t="s">
        <v>66</v>
      </c>
      <c r="P85" s="21" t="s">
        <v>151</v>
      </c>
      <c r="Q85" s="21" t="s">
        <v>63</v>
      </c>
      <c r="R85" s="21" t="s">
        <v>70</v>
      </c>
      <c r="S85" s="21" t="s">
        <v>70</v>
      </c>
      <c r="T85" s="21" t="s">
        <v>63</v>
      </c>
      <c r="U85" s="21" t="s">
        <v>62</v>
      </c>
      <c r="V85" s="21" t="s">
        <v>63</v>
      </c>
      <c r="W85" s="21" t="s">
        <v>71</v>
      </c>
      <c r="X85" s="21" t="s">
        <v>72</v>
      </c>
      <c r="Y85" s="21" t="s">
        <v>63</v>
      </c>
      <c r="Z85" s="21" t="s">
        <v>456</v>
      </c>
      <c r="AA85" s="21" t="s">
        <v>457</v>
      </c>
      <c r="AB85" s="21" t="s">
        <v>75</v>
      </c>
      <c r="AF85" t="str">
        <f t="shared" si="2"/>
        <v>Map_Segment</v>
      </c>
      <c r="AG85" t="str">
        <f t="shared" si="3"/>
        <v>EBEX</v>
      </c>
      <c r="AI85" s="4" t="str">
        <f>_xlfn.VALUETOTEXT(SUBSTITUTE(SUBSTITUTE(tbl_DynDB_JOB_METADATA[[#This Row],[TransformationQuery]], "\n", CHAR(10)), CHAR(34), ""))</f>
        <v xml:space="preserve">SELECT 
  DISTINCT CAST(src.segment_code AS INTEGER) AS segment_code, 
  CAST(src.segment AS STRING) AS segment, 
  CAST(src.segment_description AS STRING) AS segment_description
FROM 
  SOURCE src
</v>
      </c>
    </row>
    <row r="86" spans="1:35" x14ac:dyDescent="0.2">
      <c r="A86" s="21" t="s">
        <v>458</v>
      </c>
      <c r="B86" s="21" t="s">
        <v>60</v>
      </c>
      <c r="C86" s="21" t="s">
        <v>454</v>
      </c>
      <c r="D86" s="21" t="s">
        <v>62</v>
      </c>
      <c r="E86" s="21" t="s">
        <v>77</v>
      </c>
      <c r="F86" s="21" t="s">
        <v>459</v>
      </c>
      <c r="G86" s="21" t="s">
        <v>25</v>
      </c>
      <c r="H86" s="21" t="s">
        <v>79</v>
      </c>
      <c r="I86" s="21" t="s">
        <v>63</v>
      </c>
      <c r="J86" s="21" t="s">
        <v>63</v>
      </c>
      <c r="K86" s="21" t="s">
        <v>63</v>
      </c>
      <c r="L86" s="21" t="s">
        <v>460</v>
      </c>
      <c r="M86" s="20">
        <v>500</v>
      </c>
      <c r="N86" s="20">
        <v>500</v>
      </c>
      <c r="O86" s="21" t="s">
        <v>66</v>
      </c>
      <c r="P86" s="21" t="s">
        <v>151</v>
      </c>
      <c r="Q86" s="21" t="s">
        <v>63</v>
      </c>
      <c r="R86" s="21" t="s">
        <v>70</v>
      </c>
      <c r="S86" s="21" t="s">
        <v>70</v>
      </c>
      <c r="T86" s="21" t="s">
        <v>63</v>
      </c>
      <c r="U86" s="21" t="s">
        <v>62</v>
      </c>
      <c r="V86" s="21" t="s">
        <v>63</v>
      </c>
      <c r="W86" s="21" t="s">
        <v>71</v>
      </c>
      <c r="X86" s="21" t="s">
        <v>72</v>
      </c>
      <c r="Y86" s="21" t="s">
        <v>63</v>
      </c>
      <c r="Z86" s="21" t="s">
        <v>451</v>
      </c>
      <c r="AA86" s="21" t="s">
        <v>81</v>
      </c>
      <c r="AB86" s="21" t="s">
        <v>75</v>
      </c>
      <c r="AF86" t="str">
        <f t="shared" si="2"/>
        <v>Map_Segment</v>
      </c>
      <c r="AG86" t="str">
        <f t="shared" si="3"/>
        <v>ELEB</v>
      </c>
      <c r="AI86" s="4" t="str">
        <f>_xlfn.VALUETOTEXT(SUBSTITUTE(SUBSTITUTE(tbl_DynDB_JOB_METADATA[[#This Row],[TransformationQuery]], "\n", CHAR(10)), CHAR(34), ""))</f>
        <v>Select src.* FROM SOURCE src</v>
      </c>
    </row>
    <row r="87" spans="1:35" x14ac:dyDescent="0.2">
      <c r="A87" s="21" t="s">
        <v>456</v>
      </c>
      <c r="B87" s="21" t="s">
        <v>94</v>
      </c>
      <c r="C87" s="21" t="s">
        <v>461</v>
      </c>
      <c r="D87" s="21" t="s">
        <v>62</v>
      </c>
      <c r="E87" s="21" t="s">
        <v>63</v>
      </c>
      <c r="F87" s="21" t="s">
        <v>462</v>
      </c>
      <c r="G87" s="21" t="s">
        <v>25</v>
      </c>
      <c r="H87" s="21" t="s">
        <v>66</v>
      </c>
      <c r="I87" s="21" t="s">
        <v>60</v>
      </c>
      <c r="J87" s="21" t="s">
        <v>63</v>
      </c>
      <c r="K87" s="21" t="s">
        <v>452</v>
      </c>
      <c r="L87" s="21" t="s">
        <v>463</v>
      </c>
      <c r="M87" s="20">
        <v>500</v>
      </c>
      <c r="N87" s="20">
        <v>500</v>
      </c>
      <c r="O87" s="21" t="s">
        <v>66</v>
      </c>
      <c r="P87" s="21" t="s">
        <v>151</v>
      </c>
      <c r="Q87" s="21" t="s">
        <v>63</v>
      </c>
      <c r="R87" s="21" t="s">
        <v>70</v>
      </c>
      <c r="S87" s="21" t="s">
        <v>100</v>
      </c>
      <c r="T87" s="21" t="s">
        <v>63</v>
      </c>
      <c r="U87" s="21" t="s">
        <v>62</v>
      </c>
      <c r="V87" s="21" t="s">
        <v>63</v>
      </c>
      <c r="W87" s="21" t="s">
        <v>71</v>
      </c>
      <c r="X87" s="21" t="s">
        <v>72</v>
      </c>
      <c r="Y87" s="21" t="s">
        <v>63</v>
      </c>
      <c r="Z87" s="21" t="s">
        <v>464</v>
      </c>
      <c r="AA87" s="21" t="s">
        <v>81</v>
      </c>
      <c r="AB87" s="21" t="s">
        <v>75</v>
      </c>
      <c r="AF87" t="str">
        <f t="shared" si="2"/>
        <v>Map_Segment</v>
      </c>
      <c r="AG87" t="str">
        <f t="shared" si="3"/>
        <v>EXCC</v>
      </c>
      <c r="AI87" s="4" t="str">
        <f>_xlfn.VALUETOTEXT(SUBSTITUTE(SUBSTITUTE(tbl_DynDB_JOB_METADATA[[#This Row],[TransformationQuery]], "\n", CHAR(10)), CHAR(34), ""))</f>
        <v>Select src.* FROM SOURCE src</v>
      </c>
    </row>
    <row r="88" spans="1:35" x14ac:dyDescent="0.2">
      <c r="A88" s="21" t="s">
        <v>465</v>
      </c>
      <c r="B88" s="21" t="s">
        <v>60</v>
      </c>
      <c r="C88" s="21" t="s">
        <v>466</v>
      </c>
      <c r="D88" s="21" t="s">
        <v>62</v>
      </c>
      <c r="E88" s="21" t="s">
        <v>63</v>
      </c>
      <c r="F88" s="21" t="s">
        <v>467</v>
      </c>
      <c r="G88" s="21" t="s">
        <v>17</v>
      </c>
      <c r="H88" s="21" t="s">
        <v>66</v>
      </c>
      <c r="I88" s="21" t="s">
        <v>60</v>
      </c>
      <c r="J88" s="21" t="s">
        <v>63</v>
      </c>
      <c r="K88" s="21" t="s">
        <v>468</v>
      </c>
      <c r="L88" s="21" t="s">
        <v>469</v>
      </c>
      <c r="M88" s="20">
        <v>500</v>
      </c>
      <c r="N88" s="20">
        <v>500</v>
      </c>
      <c r="O88" s="21" t="s">
        <v>66</v>
      </c>
      <c r="P88" s="21" t="s">
        <v>151</v>
      </c>
      <c r="Q88" s="21" t="s">
        <v>63</v>
      </c>
      <c r="R88" s="21" t="s">
        <v>70</v>
      </c>
      <c r="S88" s="21" t="s">
        <v>70</v>
      </c>
      <c r="T88" s="21" t="s">
        <v>63</v>
      </c>
      <c r="U88" s="21" t="s">
        <v>62</v>
      </c>
      <c r="V88" s="21" t="s">
        <v>63</v>
      </c>
      <c r="W88" s="21" t="s">
        <v>71</v>
      </c>
      <c r="X88" s="21" t="s">
        <v>72</v>
      </c>
      <c r="Y88" s="21" t="s">
        <v>63</v>
      </c>
      <c r="Z88" s="21" t="s">
        <v>470</v>
      </c>
      <c r="AA88" s="21" t="s">
        <v>471</v>
      </c>
      <c r="AB88" s="21" t="s">
        <v>75</v>
      </c>
      <c r="AF88" t="str">
        <f t="shared" si="2"/>
        <v>Map_Source_Balance</v>
      </c>
      <c r="AG88" t="str">
        <f t="shared" si="3"/>
        <v>EBEX</v>
      </c>
      <c r="AI88" s="4" t="str">
        <f>_xlfn.VALUETOTEXT(SUBSTITUTE(SUBSTITUTE(tbl_DynDB_JOB_METADATA[[#This Row],[TransformationQuery]], "\n", CHAR(10)), CHAR(34), ""))</f>
        <v>SELECT 
  DISTINCT CAST(src.input_source_id AS INTEGER) AS input_source_id, 
  CAST(src.input_source AS STRING) AS input_source, 
  CAST(src.balance AS STRING) AS balance, 
  CAST(src.exp_plan AS INTEGER) AS exp_plan, 
  CAST(src.exp_frcst AS INTEGER) AS exp_frcst, 
  CAST(src.act_acclclose AS INTEGER) AS act_acclclose, 
  CAST(src.act_actual AS INTEGER) AS act_actual 
FROM 
  SOURCE src</v>
      </c>
    </row>
    <row r="89" spans="1:35" x14ac:dyDescent="0.2">
      <c r="A89" s="21" t="s">
        <v>472</v>
      </c>
      <c r="B89" s="21" t="s">
        <v>60</v>
      </c>
      <c r="C89" s="21" t="s">
        <v>468</v>
      </c>
      <c r="D89" s="21" t="s">
        <v>62</v>
      </c>
      <c r="E89" s="21" t="s">
        <v>77</v>
      </c>
      <c r="F89" s="21" t="s">
        <v>473</v>
      </c>
      <c r="G89" s="21" t="s">
        <v>17</v>
      </c>
      <c r="H89" s="21" t="s">
        <v>79</v>
      </c>
      <c r="I89" s="21" t="s">
        <v>63</v>
      </c>
      <c r="J89" s="21" t="s">
        <v>63</v>
      </c>
      <c r="K89" s="21" t="s">
        <v>63</v>
      </c>
      <c r="L89" s="21" t="s">
        <v>474</v>
      </c>
      <c r="M89" s="20">
        <v>500</v>
      </c>
      <c r="N89" s="20">
        <v>500</v>
      </c>
      <c r="O89" s="21" t="s">
        <v>66</v>
      </c>
      <c r="P89" s="21" t="s">
        <v>151</v>
      </c>
      <c r="Q89" s="21" t="s">
        <v>63</v>
      </c>
      <c r="R89" s="21" t="s">
        <v>70</v>
      </c>
      <c r="S89" s="21" t="s">
        <v>70</v>
      </c>
      <c r="T89" s="21" t="s">
        <v>63</v>
      </c>
      <c r="U89" s="21" t="s">
        <v>62</v>
      </c>
      <c r="V89" s="21" t="s">
        <v>63</v>
      </c>
      <c r="W89" s="21" t="s">
        <v>71</v>
      </c>
      <c r="X89" s="21" t="s">
        <v>72</v>
      </c>
      <c r="Y89" s="21" t="s">
        <v>63</v>
      </c>
      <c r="Z89" s="21" t="s">
        <v>465</v>
      </c>
      <c r="AA89" s="21" t="s">
        <v>81</v>
      </c>
      <c r="AB89" s="21" t="s">
        <v>75</v>
      </c>
      <c r="AF89" t="str">
        <f t="shared" si="2"/>
        <v>Map_Source_Balance</v>
      </c>
      <c r="AG89" t="str">
        <f t="shared" si="3"/>
        <v>ELEB</v>
      </c>
      <c r="AI89" s="4" t="str">
        <f>_xlfn.VALUETOTEXT(SUBSTITUTE(SUBSTITUTE(tbl_DynDB_JOB_METADATA[[#This Row],[TransformationQuery]], "\n", CHAR(10)), CHAR(34), ""))</f>
        <v>Select src.* FROM SOURCE src</v>
      </c>
    </row>
    <row r="90" spans="1:35" x14ac:dyDescent="0.2">
      <c r="A90" s="21" t="s">
        <v>470</v>
      </c>
      <c r="B90" s="21" t="s">
        <v>94</v>
      </c>
      <c r="C90" s="21" t="s">
        <v>475</v>
      </c>
      <c r="D90" s="21" t="s">
        <v>62</v>
      </c>
      <c r="E90" s="21" t="s">
        <v>63</v>
      </c>
      <c r="F90" s="21" t="s">
        <v>476</v>
      </c>
      <c r="G90" s="21" t="s">
        <v>17</v>
      </c>
      <c r="H90" s="21" t="s">
        <v>66</v>
      </c>
      <c r="I90" s="21" t="s">
        <v>60</v>
      </c>
      <c r="J90" s="21" t="s">
        <v>63</v>
      </c>
      <c r="K90" s="21" t="s">
        <v>466</v>
      </c>
      <c r="L90" s="21" t="s">
        <v>477</v>
      </c>
      <c r="M90" s="20">
        <v>500</v>
      </c>
      <c r="N90" s="20">
        <v>500</v>
      </c>
      <c r="O90" s="21" t="s">
        <v>66</v>
      </c>
      <c r="P90" s="21" t="s">
        <v>151</v>
      </c>
      <c r="Q90" s="21" t="s">
        <v>63</v>
      </c>
      <c r="R90" s="21" t="s">
        <v>70</v>
      </c>
      <c r="S90" s="21" t="s">
        <v>100</v>
      </c>
      <c r="T90" s="21" t="s">
        <v>63</v>
      </c>
      <c r="U90" s="21" t="s">
        <v>62</v>
      </c>
      <c r="V90" s="21" t="s">
        <v>63</v>
      </c>
      <c r="W90" s="21" t="s">
        <v>71</v>
      </c>
      <c r="X90" s="21" t="s">
        <v>72</v>
      </c>
      <c r="Y90" s="21" t="s">
        <v>63</v>
      </c>
      <c r="Z90" s="21" t="s">
        <v>478</v>
      </c>
      <c r="AA90" s="21" t="s">
        <v>81</v>
      </c>
      <c r="AB90" s="21" t="s">
        <v>75</v>
      </c>
      <c r="AF90" t="str">
        <f t="shared" si="2"/>
        <v>Map_Source_Balance</v>
      </c>
      <c r="AG90" t="str">
        <f t="shared" si="3"/>
        <v>EXCC</v>
      </c>
      <c r="AI90" s="4" t="str">
        <f>_xlfn.VALUETOTEXT(SUBSTITUTE(SUBSTITUTE(tbl_DynDB_JOB_METADATA[[#This Row],[TransformationQuery]], "\n", CHAR(10)), CHAR(34), ""))</f>
        <v>Select src.* FROM SOURCE src</v>
      </c>
    </row>
    <row r="91" spans="1:35" x14ac:dyDescent="0.2">
      <c r="A91" s="21" t="s">
        <v>479</v>
      </c>
      <c r="B91" s="21" t="s">
        <v>60</v>
      </c>
      <c r="C91" s="21" t="s">
        <v>480</v>
      </c>
      <c r="D91" s="21" t="s">
        <v>62</v>
      </c>
      <c r="E91" s="21" t="s">
        <v>63</v>
      </c>
      <c r="F91" s="21" t="s">
        <v>481</v>
      </c>
      <c r="G91" s="21" t="s">
        <v>15</v>
      </c>
      <c r="H91" s="21" t="s">
        <v>66</v>
      </c>
      <c r="I91" s="21" t="s">
        <v>60</v>
      </c>
      <c r="J91" s="21" t="s">
        <v>63</v>
      </c>
      <c r="K91" s="21" t="s">
        <v>482</v>
      </c>
      <c r="L91" s="21" t="s">
        <v>483</v>
      </c>
      <c r="M91" s="20">
        <v>500</v>
      </c>
      <c r="N91" s="20">
        <v>500</v>
      </c>
      <c r="O91" s="21" t="s">
        <v>66</v>
      </c>
      <c r="P91" s="21" t="s">
        <v>151</v>
      </c>
      <c r="Q91" s="21" t="s">
        <v>63</v>
      </c>
      <c r="R91" s="21" t="s">
        <v>70</v>
      </c>
      <c r="S91" s="21" t="s">
        <v>70</v>
      </c>
      <c r="T91" s="21" t="s">
        <v>63</v>
      </c>
      <c r="U91" s="21" t="s">
        <v>62</v>
      </c>
      <c r="V91" s="21" t="s">
        <v>63</v>
      </c>
      <c r="W91" s="21" t="s">
        <v>71</v>
      </c>
      <c r="X91" s="21" t="s">
        <v>72</v>
      </c>
      <c r="Y91" s="21" t="s">
        <v>63</v>
      </c>
      <c r="Z91" s="21" t="s">
        <v>484</v>
      </c>
      <c r="AA91" s="21" t="s">
        <v>485</v>
      </c>
      <c r="AB91" s="21" t="s">
        <v>75</v>
      </c>
      <c r="AF91" t="str">
        <f t="shared" si="2"/>
        <v>Map_SubDeal</v>
      </c>
      <c r="AG91" t="str">
        <f t="shared" si="3"/>
        <v>EBEX</v>
      </c>
      <c r="AI91" s="4" t="str">
        <f>_xlfn.VALUETOTEXT(SUBSTITUTE(SUBSTITUTE(tbl_DynDB_JOB_METADATA[[#This Row],[TransformationQuery]], "\n", CHAR(10)), CHAR(34), ""))</f>
        <v xml:space="preserve">
SELECT 
  DISTINCT CAST(src.sub_deal_id AS INTEGER) AS sub_deal_id, 
  sub_deal, 
  ceding_segment, 
  assuming_segment, 
  ceding_le, 
  assuming_le, 
  reins_type, 
  ic_reins, 
  CAST(
    src.ceded_factor AS DECIMAL(5,2)
  ) AS ceded_factor, 
  CAST(
    TRIM(src.gaap_mult) AS DECIMAL(5,2)
  ) AS gaap_mult, 
  CAST(TRIM(src.cft_modeled) AS INTEGER) AS cft_modeled, 
  finreinsflag, 
  ceding_gaap_reins_class, 
  ceding_stat_reins_class, 
  assuming_gaap_reins_class, 
  assuming_stat_reins_class, 
  exclusion_type 
FROM 
  SOURCE src</v>
      </c>
    </row>
    <row r="92" spans="1:35" x14ac:dyDescent="0.2">
      <c r="A92" s="21" t="s">
        <v>486</v>
      </c>
      <c r="B92" s="21" t="s">
        <v>60</v>
      </c>
      <c r="C92" s="21" t="s">
        <v>482</v>
      </c>
      <c r="D92" s="21" t="s">
        <v>62</v>
      </c>
      <c r="E92" s="21" t="s">
        <v>77</v>
      </c>
      <c r="F92" s="21" t="s">
        <v>487</v>
      </c>
      <c r="G92" s="21" t="s">
        <v>15</v>
      </c>
      <c r="H92" s="21" t="s">
        <v>79</v>
      </c>
      <c r="I92" s="21" t="s">
        <v>63</v>
      </c>
      <c r="J92" s="21" t="s">
        <v>63</v>
      </c>
      <c r="K92" s="21" t="s">
        <v>63</v>
      </c>
      <c r="L92" s="21" t="s">
        <v>488</v>
      </c>
      <c r="M92" s="20">
        <v>500</v>
      </c>
      <c r="N92" s="20">
        <v>500</v>
      </c>
      <c r="O92" s="21" t="s">
        <v>66</v>
      </c>
      <c r="P92" s="21" t="s">
        <v>151</v>
      </c>
      <c r="Q92" s="21" t="s">
        <v>63</v>
      </c>
      <c r="R92" s="21" t="s">
        <v>70</v>
      </c>
      <c r="S92" s="21" t="s">
        <v>70</v>
      </c>
      <c r="T92" s="21" t="s">
        <v>63</v>
      </c>
      <c r="U92" s="21" t="s">
        <v>62</v>
      </c>
      <c r="V92" s="21" t="s">
        <v>63</v>
      </c>
      <c r="W92" s="21" t="s">
        <v>71</v>
      </c>
      <c r="X92" s="21" t="s">
        <v>72</v>
      </c>
      <c r="Y92" s="21" t="s">
        <v>63</v>
      </c>
      <c r="Z92" s="21" t="s">
        <v>479</v>
      </c>
      <c r="AA92" s="21" t="s">
        <v>81</v>
      </c>
      <c r="AB92" s="21" t="s">
        <v>75</v>
      </c>
      <c r="AF92" t="str">
        <f t="shared" si="2"/>
        <v>Map_SubDeal</v>
      </c>
      <c r="AG92" t="str">
        <f t="shared" si="3"/>
        <v>ELEB</v>
      </c>
      <c r="AI92" s="4" t="str">
        <f>_xlfn.VALUETOTEXT(SUBSTITUTE(SUBSTITUTE(tbl_DynDB_JOB_METADATA[[#This Row],[TransformationQuery]], "\n", CHAR(10)), CHAR(34), ""))</f>
        <v>Select src.* FROM SOURCE src</v>
      </c>
    </row>
    <row r="93" spans="1:35" x14ac:dyDescent="0.2">
      <c r="A93" s="21" t="s">
        <v>484</v>
      </c>
      <c r="B93" s="21" t="s">
        <v>94</v>
      </c>
      <c r="C93" s="21" t="s">
        <v>489</v>
      </c>
      <c r="D93" s="21" t="s">
        <v>62</v>
      </c>
      <c r="E93" s="21" t="s">
        <v>63</v>
      </c>
      <c r="F93" s="21" t="s">
        <v>490</v>
      </c>
      <c r="G93" s="21" t="s">
        <v>15</v>
      </c>
      <c r="H93" s="21" t="s">
        <v>66</v>
      </c>
      <c r="I93" s="21" t="s">
        <v>60</v>
      </c>
      <c r="J93" s="21" t="s">
        <v>63</v>
      </c>
      <c r="K93" s="21" t="s">
        <v>480</v>
      </c>
      <c r="L93" s="21" t="s">
        <v>491</v>
      </c>
      <c r="M93" s="20">
        <v>500</v>
      </c>
      <c r="N93" s="20">
        <v>500</v>
      </c>
      <c r="O93" s="21" t="s">
        <v>66</v>
      </c>
      <c r="P93" s="21" t="s">
        <v>151</v>
      </c>
      <c r="Q93" s="21" t="s">
        <v>63</v>
      </c>
      <c r="R93" s="21" t="s">
        <v>70</v>
      </c>
      <c r="S93" s="21" t="s">
        <v>100</v>
      </c>
      <c r="T93" s="21" t="s">
        <v>63</v>
      </c>
      <c r="U93" s="21" t="s">
        <v>62</v>
      </c>
      <c r="V93" s="21" t="s">
        <v>63</v>
      </c>
      <c r="W93" s="21" t="s">
        <v>71</v>
      </c>
      <c r="X93" s="21" t="s">
        <v>72</v>
      </c>
      <c r="Y93" s="21" t="s">
        <v>63</v>
      </c>
      <c r="Z93" s="21" t="s">
        <v>492</v>
      </c>
      <c r="AA93" s="21" t="s">
        <v>81</v>
      </c>
      <c r="AB93" s="21" t="s">
        <v>75</v>
      </c>
      <c r="AF93" t="str">
        <f t="shared" si="2"/>
        <v>Map_SubDeal</v>
      </c>
      <c r="AG93" t="str">
        <f t="shared" si="3"/>
        <v>EXCC</v>
      </c>
      <c r="AI93" s="4" t="str">
        <f>_xlfn.VALUETOTEXT(SUBSTITUTE(SUBSTITUTE(tbl_DynDB_JOB_METADATA[[#This Row],[TransformationQuery]], "\n", CHAR(10)), CHAR(34), ""))</f>
        <v>Select src.* FROM SOURCE src</v>
      </c>
    </row>
    <row r="94" spans="1:35" x14ac:dyDescent="0.2">
      <c r="A94" s="21" t="s">
        <v>493</v>
      </c>
      <c r="B94" s="21" t="s">
        <v>60</v>
      </c>
      <c r="C94" s="21" t="s">
        <v>494</v>
      </c>
      <c r="D94" s="21" t="s">
        <v>62</v>
      </c>
      <c r="E94" s="21" t="s">
        <v>63</v>
      </c>
      <c r="F94" s="21" t="s">
        <v>495</v>
      </c>
      <c r="G94" s="21" t="s">
        <v>496</v>
      </c>
      <c r="H94" s="21" t="s">
        <v>66</v>
      </c>
      <c r="I94" s="21" t="s">
        <v>60</v>
      </c>
      <c r="J94" s="21" t="s">
        <v>63</v>
      </c>
      <c r="K94" s="21" t="s">
        <v>497</v>
      </c>
      <c r="L94" s="21" t="s">
        <v>498</v>
      </c>
      <c r="M94" s="20">
        <v>500</v>
      </c>
      <c r="N94" s="20">
        <v>500</v>
      </c>
      <c r="O94" s="21" t="s">
        <v>66</v>
      </c>
      <c r="P94" s="21" t="s">
        <v>151</v>
      </c>
      <c r="Q94" s="21" t="s">
        <v>63</v>
      </c>
      <c r="R94" s="21" t="s">
        <v>70</v>
      </c>
      <c r="S94" s="21" t="s">
        <v>70</v>
      </c>
      <c r="T94" s="21" t="s">
        <v>63</v>
      </c>
      <c r="U94" s="21" t="s">
        <v>62</v>
      </c>
      <c r="V94" s="21" t="s">
        <v>63</v>
      </c>
      <c r="W94" s="21" t="s">
        <v>71</v>
      </c>
      <c r="X94" s="21" t="s">
        <v>72</v>
      </c>
      <c r="Y94" s="21" t="s">
        <v>63</v>
      </c>
      <c r="Z94" s="21" t="s">
        <v>499</v>
      </c>
      <c r="AA94" s="21" t="s">
        <v>81</v>
      </c>
      <c r="AB94" s="21" t="s">
        <v>75</v>
      </c>
      <c r="AF94" t="str">
        <f t="shared" si="2"/>
        <v>Map_SummaryCombos</v>
      </c>
      <c r="AG94" t="str">
        <f t="shared" si="3"/>
        <v>EBEX</v>
      </c>
      <c r="AI94" s="4" t="str">
        <f>_xlfn.VALUETOTEXT(SUBSTITUTE(SUBSTITUTE(tbl_DynDB_JOB_METADATA[[#This Row],[TransformationQuery]], "\n", CHAR(10)), CHAR(34), ""))</f>
        <v>Select src.* FROM SOURCE src</v>
      </c>
    </row>
    <row r="95" spans="1:35" x14ac:dyDescent="0.2">
      <c r="A95" s="21" t="s">
        <v>500</v>
      </c>
      <c r="B95" s="21" t="s">
        <v>60</v>
      </c>
      <c r="C95" s="21" t="s">
        <v>497</v>
      </c>
      <c r="D95" s="21" t="s">
        <v>62</v>
      </c>
      <c r="E95" s="21" t="s">
        <v>77</v>
      </c>
      <c r="F95" s="21" t="s">
        <v>501</v>
      </c>
      <c r="G95" s="21" t="s">
        <v>496</v>
      </c>
      <c r="H95" s="21" t="s">
        <v>79</v>
      </c>
      <c r="I95" s="21" t="s">
        <v>63</v>
      </c>
      <c r="J95" s="21" t="s">
        <v>63</v>
      </c>
      <c r="K95" s="21" t="s">
        <v>63</v>
      </c>
      <c r="L95" s="21" t="s">
        <v>502</v>
      </c>
      <c r="M95" s="20">
        <v>500</v>
      </c>
      <c r="N95" s="20">
        <v>500</v>
      </c>
      <c r="O95" s="21" t="s">
        <v>66</v>
      </c>
      <c r="P95" s="21" t="s">
        <v>151</v>
      </c>
      <c r="Q95" s="21" t="s">
        <v>63</v>
      </c>
      <c r="R95" s="21" t="s">
        <v>70</v>
      </c>
      <c r="S95" s="21" t="s">
        <v>70</v>
      </c>
      <c r="T95" s="21" t="s">
        <v>63</v>
      </c>
      <c r="U95" s="21" t="s">
        <v>62</v>
      </c>
      <c r="V95" s="21" t="s">
        <v>63</v>
      </c>
      <c r="W95" s="21" t="s">
        <v>71</v>
      </c>
      <c r="X95" s="21" t="s">
        <v>72</v>
      </c>
      <c r="Y95" s="21" t="s">
        <v>63</v>
      </c>
      <c r="Z95" s="21" t="s">
        <v>493</v>
      </c>
      <c r="AA95" s="21" t="s">
        <v>81</v>
      </c>
      <c r="AB95" s="21" t="s">
        <v>75</v>
      </c>
      <c r="AF95" t="str">
        <f t="shared" si="2"/>
        <v>Map_SummaryCombos</v>
      </c>
      <c r="AG95" t="str">
        <f t="shared" si="3"/>
        <v>ELEB</v>
      </c>
      <c r="AI95" s="4" t="str">
        <f>_xlfn.VALUETOTEXT(SUBSTITUTE(SUBSTITUTE(tbl_DynDB_JOB_METADATA[[#This Row],[TransformationQuery]], "\n", CHAR(10)), CHAR(34), ""))</f>
        <v>Select src.* FROM SOURCE src</v>
      </c>
    </row>
    <row r="96" spans="1:35" x14ac:dyDescent="0.2">
      <c r="A96" s="21" t="s">
        <v>499</v>
      </c>
      <c r="B96" s="21" t="s">
        <v>94</v>
      </c>
      <c r="C96" s="21" t="s">
        <v>503</v>
      </c>
      <c r="D96" s="21" t="s">
        <v>62</v>
      </c>
      <c r="E96" s="21" t="s">
        <v>63</v>
      </c>
      <c r="F96" s="21" t="s">
        <v>504</v>
      </c>
      <c r="G96" s="21" t="s">
        <v>496</v>
      </c>
      <c r="H96" s="21" t="s">
        <v>66</v>
      </c>
      <c r="I96" s="21" t="s">
        <v>60</v>
      </c>
      <c r="J96" s="21" t="s">
        <v>63</v>
      </c>
      <c r="K96" s="21" t="s">
        <v>494</v>
      </c>
      <c r="L96" s="21" t="s">
        <v>505</v>
      </c>
      <c r="M96" s="20">
        <v>500</v>
      </c>
      <c r="N96" s="20">
        <v>500</v>
      </c>
      <c r="O96" s="21" t="s">
        <v>66</v>
      </c>
      <c r="P96" s="21" t="s">
        <v>151</v>
      </c>
      <c r="Q96" s="21" t="s">
        <v>63</v>
      </c>
      <c r="R96" s="21" t="s">
        <v>70</v>
      </c>
      <c r="S96" s="21" t="s">
        <v>100</v>
      </c>
      <c r="T96" s="21" t="s">
        <v>63</v>
      </c>
      <c r="U96" s="21" t="s">
        <v>62</v>
      </c>
      <c r="V96" s="21" t="s">
        <v>63</v>
      </c>
      <c r="W96" s="21" t="s">
        <v>71</v>
      </c>
      <c r="X96" s="21" t="s">
        <v>72</v>
      </c>
      <c r="Y96" s="21" t="s">
        <v>63</v>
      </c>
      <c r="Z96" s="21" t="s">
        <v>506</v>
      </c>
      <c r="AA96" s="21" t="s">
        <v>81</v>
      </c>
      <c r="AB96" s="21" t="s">
        <v>75</v>
      </c>
      <c r="AF96" t="str">
        <f t="shared" si="2"/>
        <v>Map_SummaryCombos</v>
      </c>
      <c r="AG96" t="str">
        <f t="shared" si="3"/>
        <v>EXCC</v>
      </c>
      <c r="AI96" s="4" t="str">
        <f>_xlfn.VALUETOTEXT(SUBSTITUTE(SUBSTITUTE(tbl_DynDB_JOB_METADATA[[#This Row],[TransformationQuery]], "\n", CHAR(10)), CHAR(34), ""))</f>
        <v>Select src.* FROM SOURCE src</v>
      </c>
    </row>
    <row r="97" spans="1:35" x14ac:dyDescent="0.2">
      <c r="A97" s="21" t="s">
        <v>507</v>
      </c>
      <c r="B97" s="21" t="s">
        <v>60</v>
      </c>
      <c r="C97" s="21" t="s">
        <v>508</v>
      </c>
      <c r="D97" s="21" t="s">
        <v>62</v>
      </c>
      <c r="E97" s="21" t="s">
        <v>63</v>
      </c>
      <c r="F97" s="21" t="s">
        <v>509</v>
      </c>
      <c r="G97" s="21" t="s">
        <v>510</v>
      </c>
      <c r="H97" s="21" t="s">
        <v>66</v>
      </c>
      <c r="I97" s="21" t="s">
        <v>60</v>
      </c>
      <c r="J97" s="21" t="s">
        <v>63</v>
      </c>
      <c r="K97" s="21" t="s">
        <v>511</v>
      </c>
      <c r="L97" s="21" t="s">
        <v>512</v>
      </c>
      <c r="M97" s="20">
        <v>500</v>
      </c>
      <c r="N97" s="20">
        <v>500</v>
      </c>
      <c r="O97" s="21" t="s">
        <v>66</v>
      </c>
      <c r="P97" s="21" t="s">
        <v>151</v>
      </c>
      <c r="Q97" s="21" t="s">
        <v>63</v>
      </c>
      <c r="R97" s="21" t="s">
        <v>70</v>
      </c>
      <c r="S97" s="21" t="s">
        <v>70</v>
      </c>
      <c r="T97" s="21" t="s">
        <v>63</v>
      </c>
      <c r="U97" s="21" t="s">
        <v>62</v>
      </c>
      <c r="V97" s="21" t="s">
        <v>63</v>
      </c>
      <c r="W97" s="21" t="s">
        <v>71</v>
      </c>
      <c r="X97" s="21" t="s">
        <v>513</v>
      </c>
      <c r="Y97" s="21" t="s">
        <v>63</v>
      </c>
      <c r="Z97" s="21" t="s">
        <v>514</v>
      </c>
      <c r="AA97" s="21" t="s">
        <v>515</v>
      </c>
      <c r="AB97" s="21" t="s">
        <v>75</v>
      </c>
      <c r="AF97" t="str">
        <f t="shared" si="2"/>
        <v>Map_Topside_Approach</v>
      </c>
      <c r="AG97" t="str">
        <f t="shared" si="3"/>
        <v>EBEX</v>
      </c>
      <c r="AI97" s="4" t="str">
        <f>_xlfn.VALUETOTEXT(SUBSTITUTE(SUBSTITUTE(tbl_DynDB_JOB_METADATA[[#This Row],[TransformationQuery]], "\n", CHAR(10)), CHAR(34), ""))</f>
        <v xml:space="preserve">SELECT 
  DISTINCT CAST(src.topside_approach_id AS INTEGER) AS topside_approach_id, 
  CAST(src.topside_approach AS STRING) AS topside_approach
FROM 
  SOURCE src
</v>
      </c>
    </row>
    <row r="98" spans="1:35" x14ac:dyDescent="0.2">
      <c r="A98" s="21" t="s">
        <v>516</v>
      </c>
      <c r="B98" s="21" t="s">
        <v>60</v>
      </c>
      <c r="C98" s="21" t="s">
        <v>511</v>
      </c>
      <c r="D98" s="21" t="s">
        <v>62</v>
      </c>
      <c r="E98" s="21" t="s">
        <v>77</v>
      </c>
      <c r="F98" s="21" t="s">
        <v>517</v>
      </c>
      <c r="G98" s="21" t="s">
        <v>510</v>
      </c>
      <c r="H98" s="21" t="s">
        <v>79</v>
      </c>
      <c r="I98" s="21" t="s">
        <v>63</v>
      </c>
      <c r="J98" s="21" t="s">
        <v>63</v>
      </c>
      <c r="K98" s="21" t="s">
        <v>63</v>
      </c>
      <c r="L98" s="21" t="s">
        <v>518</v>
      </c>
      <c r="M98" s="20">
        <v>500</v>
      </c>
      <c r="N98" s="20">
        <v>500</v>
      </c>
      <c r="O98" s="21" t="s">
        <v>66</v>
      </c>
      <c r="P98" s="21" t="s">
        <v>151</v>
      </c>
      <c r="Q98" s="21" t="s">
        <v>63</v>
      </c>
      <c r="R98" s="21" t="s">
        <v>70</v>
      </c>
      <c r="S98" s="21" t="s">
        <v>70</v>
      </c>
      <c r="T98" s="21" t="s">
        <v>63</v>
      </c>
      <c r="U98" s="21" t="s">
        <v>62</v>
      </c>
      <c r="V98" s="21" t="s">
        <v>63</v>
      </c>
      <c r="W98" s="21" t="s">
        <v>71</v>
      </c>
      <c r="X98" s="21" t="s">
        <v>72</v>
      </c>
      <c r="Y98" s="21" t="s">
        <v>63</v>
      </c>
      <c r="Z98" s="21" t="s">
        <v>507</v>
      </c>
      <c r="AA98" s="21" t="s">
        <v>81</v>
      </c>
      <c r="AB98" s="21" t="s">
        <v>75</v>
      </c>
      <c r="AF98" t="str">
        <f t="shared" si="2"/>
        <v>Map_Topside_Approach</v>
      </c>
      <c r="AG98" t="str">
        <f t="shared" si="3"/>
        <v>ELEB</v>
      </c>
      <c r="AI98" s="4" t="str">
        <f>_xlfn.VALUETOTEXT(SUBSTITUTE(SUBSTITUTE(tbl_DynDB_JOB_METADATA[[#This Row],[TransformationQuery]], "\n", CHAR(10)), CHAR(34), ""))</f>
        <v>Select src.* FROM SOURCE src</v>
      </c>
    </row>
    <row r="99" spans="1:35" x14ac:dyDescent="0.2">
      <c r="A99" s="21" t="s">
        <v>514</v>
      </c>
      <c r="B99" s="21" t="s">
        <v>94</v>
      </c>
      <c r="C99" s="21" t="s">
        <v>519</v>
      </c>
      <c r="D99" s="21" t="s">
        <v>62</v>
      </c>
      <c r="E99" s="21" t="s">
        <v>63</v>
      </c>
      <c r="F99" s="21" t="s">
        <v>520</v>
      </c>
      <c r="G99" s="21" t="s">
        <v>510</v>
      </c>
      <c r="H99" s="21" t="s">
        <v>66</v>
      </c>
      <c r="I99" s="21" t="s">
        <v>60</v>
      </c>
      <c r="J99" s="21" t="s">
        <v>63</v>
      </c>
      <c r="K99" s="21" t="s">
        <v>508</v>
      </c>
      <c r="L99" s="21" t="s">
        <v>521</v>
      </c>
      <c r="M99" s="20">
        <v>500</v>
      </c>
      <c r="N99" s="20">
        <v>500</v>
      </c>
      <c r="O99" s="21" t="s">
        <v>66</v>
      </c>
      <c r="P99" s="21" t="s">
        <v>151</v>
      </c>
      <c r="Q99" s="21" t="s">
        <v>63</v>
      </c>
      <c r="R99" s="21" t="s">
        <v>70</v>
      </c>
      <c r="S99" s="21" t="s">
        <v>100</v>
      </c>
      <c r="T99" s="21" t="s">
        <v>63</v>
      </c>
      <c r="U99" s="21" t="s">
        <v>62</v>
      </c>
      <c r="V99" s="21" t="s">
        <v>63</v>
      </c>
      <c r="W99" s="21" t="s">
        <v>71</v>
      </c>
      <c r="X99" s="21" t="s">
        <v>72</v>
      </c>
      <c r="Y99" s="21" t="s">
        <v>63</v>
      </c>
      <c r="Z99" s="21" t="s">
        <v>522</v>
      </c>
      <c r="AA99" s="21" t="s">
        <v>81</v>
      </c>
      <c r="AB99" s="21" t="s">
        <v>75</v>
      </c>
      <c r="AF99" t="str">
        <f t="shared" si="2"/>
        <v>Map_Topside_Approach</v>
      </c>
      <c r="AG99" t="str">
        <f t="shared" si="3"/>
        <v>EXCC</v>
      </c>
      <c r="AI99" s="4" t="str">
        <f>_xlfn.VALUETOTEXT(SUBSTITUTE(SUBSTITUTE(tbl_DynDB_JOB_METADATA[[#This Row],[TransformationQuery]], "\n", CHAR(10)), CHAR(34), ""))</f>
        <v>Select src.* FROM SOURCE src</v>
      </c>
    </row>
    <row r="100" spans="1:35" x14ac:dyDescent="0.2">
      <c r="A100" s="21" t="s">
        <v>523</v>
      </c>
      <c r="B100" s="21" t="s">
        <v>60</v>
      </c>
      <c r="C100" s="21" t="s">
        <v>524</v>
      </c>
      <c r="D100" s="21" t="s">
        <v>62</v>
      </c>
      <c r="E100" s="21" t="s">
        <v>63</v>
      </c>
      <c r="F100" s="21" t="s">
        <v>525</v>
      </c>
      <c r="G100" s="21" t="s">
        <v>526</v>
      </c>
      <c r="H100" s="21" t="s">
        <v>66</v>
      </c>
      <c r="I100" s="21" t="s">
        <v>60</v>
      </c>
      <c r="J100" s="21" t="s">
        <v>63</v>
      </c>
      <c r="K100" s="21" t="s">
        <v>527</v>
      </c>
      <c r="L100" s="21" t="s">
        <v>528</v>
      </c>
      <c r="M100" s="20">
        <v>500</v>
      </c>
      <c r="N100" s="20">
        <v>500</v>
      </c>
      <c r="O100" s="21" t="s">
        <v>66</v>
      </c>
      <c r="P100" s="21" t="s">
        <v>151</v>
      </c>
      <c r="Q100" s="21" t="s">
        <v>63</v>
      </c>
      <c r="R100" s="21" t="s">
        <v>70</v>
      </c>
      <c r="S100" s="21" t="s">
        <v>70</v>
      </c>
      <c r="T100" s="21" t="s">
        <v>63</v>
      </c>
      <c r="U100" s="21" t="s">
        <v>62</v>
      </c>
      <c r="V100" s="21" t="s">
        <v>63</v>
      </c>
      <c r="W100" s="21" t="s">
        <v>71</v>
      </c>
      <c r="X100" s="21" t="s">
        <v>72</v>
      </c>
      <c r="Y100" s="21" t="s">
        <v>63</v>
      </c>
      <c r="Z100" s="21" t="s">
        <v>529</v>
      </c>
      <c r="AA100" s="21" t="s">
        <v>530</v>
      </c>
      <c r="AB100" s="21" t="s">
        <v>75</v>
      </c>
      <c r="AF100" t="str">
        <f t="shared" si="2"/>
        <v>Map_Topside_Group</v>
      </c>
      <c r="AG100" t="str">
        <f t="shared" si="3"/>
        <v>EBEX</v>
      </c>
      <c r="AI100" s="4" t="str">
        <f>_xlfn.VALUETOTEXT(SUBSTITUTE(SUBSTITUTE(tbl_DynDB_JOB_METADATA[[#This Row],[TransformationQuery]], "\n", CHAR(10)), CHAR(34), ""))</f>
        <v>SELECT 
  DISTINCT CAST(src.group_id AS INTEGER) AS group_id, 
  CAST(src.topside_group AS STRING) AS topside_group
FROM 
  SOURCE src</v>
      </c>
    </row>
    <row r="101" spans="1:35" x14ac:dyDescent="0.2">
      <c r="A101" s="21" t="s">
        <v>531</v>
      </c>
      <c r="B101" s="21" t="s">
        <v>60</v>
      </c>
      <c r="C101" s="21" t="s">
        <v>527</v>
      </c>
      <c r="D101" s="21" t="s">
        <v>62</v>
      </c>
      <c r="E101" s="21" t="s">
        <v>77</v>
      </c>
      <c r="F101" s="21" t="s">
        <v>532</v>
      </c>
      <c r="G101" s="21" t="s">
        <v>526</v>
      </c>
      <c r="H101" s="21" t="s">
        <v>79</v>
      </c>
      <c r="I101" s="21" t="s">
        <v>63</v>
      </c>
      <c r="J101" s="21" t="s">
        <v>63</v>
      </c>
      <c r="K101" s="21" t="s">
        <v>63</v>
      </c>
      <c r="L101" s="21" t="s">
        <v>533</v>
      </c>
      <c r="M101" s="20">
        <v>500</v>
      </c>
      <c r="N101" s="20">
        <v>500</v>
      </c>
      <c r="O101" s="21" t="s">
        <v>66</v>
      </c>
      <c r="P101" s="21" t="s">
        <v>151</v>
      </c>
      <c r="Q101" s="21" t="s">
        <v>63</v>
      </c>
      <c r="R101" s="21" t="s">
        <v>70</v>
      </c>
      <c r="S101" s="21" t="s">
        <v>70</v>
      </c>
      <c r="T101" s="21" t="s">
        <v>63</v>
      </c>
      <c r="U101" s="21" t="s">
        <v>62</v>
      </c>
      <c r="V101" s="21" t="s">
        <v>63</v>
      </c>
      <c r="W101" s="21" t="s">
        <v>71</v>
      </c>
      <c r="X101" s="21" t="s">
        <v>72</v>
      </c>
      <c r="Y101" s="21" t="s">
        <v>63</v>
      </c>
      <c r="Z101" s="21" t="s">
        <v>523</v>
      </c>
      <c r="AA101" s="21" t="s">
        <v>81</v>
      </c>
      <c r="AB101" s="21" t="s">
        <v>75</v>
      </c>
      <c r="AF101" t="str">
        <f t="shared" si="2"/>
        <v>Map_Topside_Group</v>
      </c>
      <c r="AG101" t="str">
        <f t="shared" si="3"/>
        <v>ELEB</v>
      </c>
      <c r="AI101" s="4" t="str">
        <f>_xlfn.VALUETOTEXT(SUBSTITUTE(SUBSTITUTE(tbl_DynDB_JOB_METADATA[[#This Row],[TransformationQuery]], "\n", CHAR(10)), CHAR(34), ""))</f>
        <v>Select src.* FROM SOURCE src</v>
      </c>
    </row>
    <row r="102" spans="1:35" x14ac:dyDescent="0.2">
      <c r="A102" s="21" t="s">
        <v>529</v>
      </c>
      <c r="B102" s="21" t="s">
        <v>94</v>
      </c>
      <c r="C102" s="21" t="s">
        <v>534</v>
      </c>
      <c r="D102" s="21" t="s">
        <v>62</v>
      </c>
      <c r="E102" s="21" t="s">
        <v>63</v>
      </c>
      <c r="F102" s="21" t="s">
        <v>535</v>
      </c>
      <c r="G102" s="21" t="s">
        <v>526</v>
      </c>
      <c r="H102" s="21" t="s">
        <v>66</v>
      </c>
      <c r="I102" s="21" t="s">
        <v>60</v>
      </c>
      <c r="J102" s="21" t="s">
        <v>63</v>
      </c>
      <c r="K102" s="21" t="s">
        <v>524</v>
      </c>
      <c r="L102" s="21" t="s">
        <v>536</v>
      </c>
      <c r="M102" s="20">
        <v>500</v>
      </c>
      <c r="N102" s="20">
        <v>500</v>
      </c>
      <c r="O102" s="21" t="s">
        <v>66</v>
      </c>
      <c r="P102" s="21" t="s">
        <v>151</v>
      </c>
      <c r="Q102" s="21" t="s">
        <v>63</v>
      </c>
      <c r="R102" s="21" t="s">
        <v>70</v>
      </c>
      <c r="S102" s="21" t="s">
        <v>100</v>
      </c>
      <c r="T102" s="21" t="s">
        <v>63</v>
      </c>
      <c r="U102" s="21" t="s">
        <v>62</v>
      </c>
      <c r="V102" s="21" t="s">
        <v>63</v>
      </c>
      <c r="W102" s="21" t="s">
        <v>71</v>
      </c>
      <c r="X102" s="21" t="s">
        <v>72</v>
      </c>
      <c r="Y102" s="21" t="s">
        <v>63</v>
      </c>
      <c r="Z102" s="21" t="s">
        <v>537</v>
      </c>
      <c r="AA102" s="21" t="s">
        <v>81</v>
      </c>
      <c r="AB102" s="21" t="s">
        <v>75</v>
      </c>
      <c r="AF102" t="str">
        <f t="shared" si="2"/>
        <v>Map_Topside_Group</v>
      </c>
      <c r="AG102" t="str">
        <f t="shared" si="3"/>
        <v>EXCC</v>
      </c>
      <c r="AI102" s="4" t="str">
        <f>_xlfn.VALUETOTEXT(SUBSTITUTE(SUBSTITUTE(tbl_DynDB_JOB_METADATA[[#This Row],[TransformationQuery]], "\n", CHAR(10)), CHAR(34), ""))</f>
        <v>Select src.* FROM SOURCE src</v>
      </c>
    </row>
    <row r="103" spans="1:35" x14ac:dyDescent="0.2">
      <c r="A103" s="21" t="s">
        <v>538</v>
      </c>
      <c r="B103" s="21" t="s">
        <v>60</v>
      </c>
      <c r="C103" s="21" t="s">
        <v>539</v>
      </c>
      <c r="D103" s="21" t="s">
        <v>62</v>
      </c>
      <c r="E103" s="21" t="s">
        <v>77</v>
      </c>
      <c r="F103" s="21" t="s">
        <v>540</v>
      </c>
      <c r="G103" s="21" t="s">
        <v>541</v>
      </c>
      <c r="H103" s="21" t="s">
        <v>79</v>
      </c>
      <c r="I103" s="21" t="s">
        <v>63</v>
      </c>
      <c r="J103" s="21" t="s">
        <v>63</v>
      </c>
      <c r="K103" s="21" t="s">
        <v>63</v>
      </c>
      <c r="L103" s="21" t="s">
        <v>542</v>
      </c>
      <c r="M103" s="20">
        <v>500</v>
      </c>
      <c r="N103" s="20">
        <v>500</v>
      </c>
      <c r="O103" s="21" t="s">
        <v>66</v>
      </c>
      <c r="P103" s="21" t="s">
        <v>151</v>
      </c>
      <c r="Q103" s="21" t="s">
        <v>63</v>
      </c>
      <c r="R103" s="21" t="s">
        <v>70</v>
      </c>
      <c r="S103" s="21" t="s">
        <v>70</v>
      </c>
      <c r="T103" s="21" t="s">
        <v>63</v>
      </c>
      <c r="U103" s="21" t="s">
        <v>62</v>
      </c>
      <c r="V103" s="21" t="s">
        <v>63</v>
      </c>
      <c r="W103" s="21" t="s">
        <v>71</v>
      </c>
      <c r="X103" s="21" t="s">
        <v>72</v>
      </c>
      <c r="Y103" s="21" t="s">
        <v>63</v>
      </c>
      <c r="Z103" s="21" t="s">
        <v>63</v>
      </c>
      <c r="AA103" s="21" t="s">
        <v>81</v>
      </c>
      <c r="AB103" s="21" t="s">
        <v>75</v>
      </c>
      <c r="AF103" t="str">
        <f t="shared" si="2"/>
        <v>Meta_DataDictionary</v>
      </c>
      <c r="AG103" t="str">
        <f t="shared" si="3"/>
        <v>ELEB</v>
      </c>
      <c r="AI103" s="4" t="str">
        <f>_xlfn.VALUETOTEXT(SUBSTITUTE(SUBSTITUTE(tbl_DynDB_JOB_METADATA[[#This Row],[TransformationQuery]], "\n", CHAR(10)), CHAR(34), ""))</f>
        <v>Select src.* FROM SOURCE src</v>
      </c>
    </row>
    <row r="104" spans="1:35" x14ac:dyDescent="0.2">
      <c r="A104" s="21" t="s">
        <v>543</v>
      </c>
      <c r="B104" s="21" t="s">
        <v>94</v>
      </c>
      <c r="C104" s="21" t="s">
        <v>544</v>
      </c>
      <c r="D104" s="21" t="s">
        <v>62</v>
      </c>
      <c r="E104" s="21" t="s">
        <v>63</v>
      </c>
      <c r="F104" s="21" t="s">
        <v>545</v>
      </c>
      <c r="G104" s="21" t="s">
        <v>546</v>
      </c>
      <c r="H104" s="21" t="s">
        <v>86</v>
      </c>
      <c r="I104" s="21" t="s">
        <v>60</v>
      </c>
      <c r="J104" s="21" t="s">
        <v>67</v>
      </c>
      <c r="K104" s="21" t="s">
        <v>547</v>
      </c>
      <c r="L104" s="21" t="s">
        <v>548</v>
      </c>
      <c r="M104" s="20">
        <v>500</v>
      </c>
      <c r="N104" s="20">
        <v>500</v>
      </c>
      <c r="O104" s="21" t="s">
        <v>66</v>
      </c>
      <c r="P104" s="21" t="s">
        <v>67</v>
      </c>
      <c r="Q104" s="21" t="s">
        <v>62</v>
      </c>
      <c r="R104" s="21" t="s">
        <v>70</v>
      </c>
      <c r="S104" s="21" t="s">
        <v>100</v>
      </c>
      <c r="T104" s="21" t="s">
        <v>63</v>
      </c>
      <c r="U104" s="21" t="s">
        <v>62</v>
      </c>
      <c r="V104" s="21" t="s">
        <v>63</v>
      </c>
      <c r="W104" s="21" t="s">
        <v>71</v>
      </c>
      <c r="X104" s="21" t="s">
        <v>72</v>
      </c>
      <c r="Y104" s="21" t="s">
        <v>63</v>
      </c>
      <c r="Z104" s="21" t="s">
        <v>63</v>
      </c>
      <c r="AA104" s="21" t="s">
        <v>101</v>
      </c>
      <c r="AB104" s="21" t="s">
        <v>75</v>
      </c>
      <c r="AF104" t="str">
        <f t="shared" si="2"/>
        <v>Summary_BS_Topsides_Merged</v>
      </c>
      <c r="AG104" t="str">
        <f t="shared" si="3"/>
        <v>EJCC</v>
      </c>
      <c r="AI104" s="4" t="str">
        <f>_xlfn.VALUETOTEXT(SUBSTITUTE(SUBSTITUTE(tbl_DynDB_JOB_METADATA[[#This Row],[TransformationQuery]], "\n", CHAR(10)), CHAR(34), ""))</f>
        <v>SELECT src.* FROM SOURCE src</v>
      </c>
    </row>
    <row r="105" spans="1:35" x14ac:dyDescent="0.2">
      <c r="A105" s="21" t="s">
        <v>91</v>
      </c>
      <c r="B105" s="21" t="s">
        <v>60</v>
      </c>
      <c r="C105" s="21" t="s">
        <v>547</v>
      </c>
      <c r="D105" s="21" t="s">
        <v>62</v>
      </c>
      <c r="E105" s="21" t="s">
        <v>63</v>
      </c>
      <c r="F105" s="21" t="s">
        <v>549</v>
      </c>
      <c r="G105" s="21" t="s">
        <v>546</v>
      </c>
      <c r="H105" s="21" t="s">
        <v>86</v>
      </c>
      <c r="I105" s="21" t="s">
        <v>60</v>
      </c>
      <c r="J105" s="21" t="s">
        <v>67</v>
      </c>
      <c r="K105" s="21" t="s">
        <v>550</v>
      </c>
      <c r="L105" s="21" t="s">
        <v>551</v>
      </c>
      <c r="M105" s="20">
        <v>500</v>
      </c>
      <c r="N105" s="20">
        <v>500</v>
      </c>
      <c r="O105" s="21" t="s">
        <v>66</v>
      </c>
      <c r="P105" s="21" t="s">
        <v>67</v>
      </c>
      <c r="Q105" s="21" t="s">
        <v>62</v>
      </c>
      <c r="R105" s="21" t="s">
        <v>70</v>
      </c>
      <c r="S105" s="21" t="s">
        <v>70</v>
      </c>
      <c r="T105" s="21" t="s">
        <v>63</v>
      </c>
      <c r="U105" s="21" t="s">
        <v>62</v>
      </c>
      <c r="V105" s="21" t="s">
        <v>63</v>
      </c>
      <c r="W105" s="21" t="s">
        <v>71</v>
      </c>
      <c r="X105" s="21" t="s">
        <v>552</v>
      </c>
      <c r="Y105" s="21" t="s">
        <v>63</v>
      </c>
      <c r="Z105" s="21" t="s">
        <v>543</v>
      </c>
      <c r="AA105" s="21" t="s">
        <v>553</v>
      </c>
      <c r="AB105" s="21" t="s">
        <v>75</v>
      </c>
      <c r="AF105" t="str">
        <f t="shared" si="2"/>
        <v>Summary_BS_Topsides_Merged</v>
      </c>
      <c r="AG105" t="str">
        <f t="shared" si="3"/>
        <v>EJEJ</v>
      </c>
      <c r="AI105" s="4" t="str">
        <f>_xlfn.VALUETOTEXT(SUBSTITUTE(SUBSTITUTE(tbl_DynDB_JOB_METADATA[[#This Row],[TransformationQuery]], "\n", CHAR(10)), CHAR(34), ""))</f>
        <v xml:space="preserve">WITH merged AS (
  SELECT 
    h.* 
  FROM 
    HIST h 
  UNION ALL 
  SELECT 
    c.* 
  FROM 
    CURR c
) 
SELECT 
  m.* 
FROM 
  merged m 
ORDER BY 
  m.val_date DESC, 
  m.topside_approach, 
  m.valuation_block, 
  m.balance
</v>
      </c>
    </row>
    <row r="106" spans="1:35" x14ac:dyDescent="0.2">
      <c r="A106" s="21" t="s">
        <v>554</v>
      </c>
      <c r="B106" s="21" t="s">
        <v>60</v>
      </c>
      <c r="C106" s="21" t="s">
        <v>555</v>
      </c>
      <c r="D106" s="21" t="s">
        <v>62</v>
      </c>
      <c r="E106" s="21" t="s">
        <v>63</v>
      </c>
      <c r="F106" s="21" t="s">
        <v>556</v>
      </c>
      <c r="G106" s="21" t="s">
        <v>557</v>
      </c>
      <c r="H106" s="21" t="s">
        <v>86</v>
      </c>
      <c r="I106" s="21" t="s">
        <v>60</v>
      </c>
      <c r="J106" s="21" t="s">
        <v>151</v>
      </c>
      <c r="K106" s="21" t="s">
        <v>558</v>
      </c>
      <c r="L106" s="21" t="s">
        <v>559</v>
      </c>
      <c r="M106" s="20">
        <v>500</v>
      </c>
      <c r="N106" s="20">
        <v>500</v>
      </c>
      <c r="O106" s="21" t="s">
        <v>66</v>
      </c>
      <c r="P106" s="21" t="s">
        <v>151</v>
      </c>
      <c r="Q106" s="21" t="s">
        <v>62</v>
      </c>
      <c r="R106" s="21" t="s">
        <v>70</v>
      </c>
      <c r="S106" s="21" t="s">
        <v>70</v>
      </c>
      <c r="T106" s="21" t="s">
        <v>63</v>
      </c>
      <c r="U106" s="21" t="s">
        <v>62</v>
      </c>
      <c r="V106" s="21" t="s">
        <v>63</v>
      </c>
      <c r="W106" s="21" t="s">
        <v>71</v>
      </c>
      <c r="X106" s="21" t="s">
        <v>72</v>
      </c>
      <c r="Y106" s="21" t="s">
        <v>63</v>
      </c>
      <c r="Z106" s="21" t="s">
        <v>560</v>
      </c>
      <c r="AA106" s="21" t="s">
        <v>561</v>
      </c>
      <c r="AB106" s="21" t="s">
        <v>75</v>
      </c>
      <c r="AF106" t="str">
        <f t="shared" si="2"/>
        <v>Val_Acct_BS_RLUS</v>
      </c>
      <c r="AG106" t="str">
        <f t="shared" si="3"/>
        <v>EBER</v>
      </c>
      <c r="AI106" s="4" t="str">
        <f>_xlfn.VALUETOTEXT(SUBSTITUTE(SUBSTITUTE(tbl_DynDB_JOB_METADATA[[#This Row],[TransformationQuery]], "\n", CHAR(10)), CHAR(34), ""))</f>
        <v>SELECT Val_Date,Company,Legal_Entity,Valuation_Block,Input_Source,DCA_Code,GAAP_Reins_Class,STAT_Reins_Class,IC_Reins,Sub_Deal,Balance_Description, Chg_in_Bal_Description, RLUS_GAAP_Balance as RLUS_GAAP_Balance ,TPA_GAAP_Balance as TPA_GAAP_Balance, STAT_Balance as STAT_Balance,Tax_Balance as Tax_Balance, Affiliate_LE,Upload_Entry_Ind,Ledger_Segment,Ledger_Product,Ledger_Cohort  from SOURCE</v>
      </c>
    </row>
    <row r="107" spans="1:35" x14ac:dyDescent="0.2">
      <c r="A107" s="21" t="s">
        <v>562</v>
      </c>
      <c r="B107" s="21" t="s">
        <v>60</v>
      </c>
      <c r="C107" s="21" t="s">
        <v>558</v>
      </c>
      <c r="D107" s="21" t="s">
        <v>62</v>
      </c>
      <c r="E107" s="21" t="s">
        <v>77</v>
      </c>
      <c r="F107" s="21" t="s">
        <v>559</v>
      </c>
      <c r="G107" s="21" t="s">
        <v>557</v>
      </c>
      <c r="H107" s="21" t="s">
        <v>79</v>
      </c>
      <c r="I107" s="21" t="s">
        <v>63</v>
      </c>
      <c r="J107" s="21" t="s">
        <v>63</v>
      </c>
      <c r="K107" s="21" t="s">
        <v>63</v>
      </c>
      <c r="L107" s="21" t="s">
        <v>563</v>
      </c>
      <c r="M107" s="20">
        <v>500</v>
      </c>
      <c r="N107" s="20">
        <v>500</v>
      </c>
      <c r="O107" s="21" t="s">
        <v>66</v>
      </c>
      <c r="P107" s="21" t="s">
        <v>151</v>
      </c>
      <c r="Q107" s="21" t="s">
        <v>62</v>
      </c>
      <c r="R107" s="21" t="s">
        <v>70</v>
      </c>
      <c r="S107" s="21" t="s">
        <v>70</v>
      </c>
      <c r="T107" s="21" t="s">
        <v>63</v>
      </c>
      <c r="U107" s="21" t="s">
        <v>62</v>
      </c>
      <c r="V107" s="21" t="s">
        <v>63</v>
      </c>
      <c r="W107" s="21" t="s">
        <v>71</v>
      </c>
      <c r="X107" s="21" t="s">
        <v>72</v>
      </c>
      <c r="Y107" s="21" t="s">
        <v>63</v>
      </c>
      <c r="Z107" s="21" t="s">
        <v>554</v>
      </c>
      <c r="AA107" s="21" t="s">
        <v>564</v>
      </c>
      <c r="AB107" s="21" t="s">
        <v>75</v>
      </c>
      <c r="AF107" t="str">
        <f t="shared" si="2"/>
        <v>Val_Acct_BS_RLUS</v>
      </c>
      <c r="AG107" t="str">
        <f t="shared" si="3"/>
        <v>ELEB</v>
      </c>
      <c r="AI107" s="4" t="str">
        <f>_xlfn.VALUETOTEXT(SUBSTITUTE(SUBSTITUTE(tbl_DynDB_JOB_METADATA[[#This Row],[TransformationQuery]], "\n", CHAR(10)), CHAR(34), ""))</f>
        <v>Select * FROM SOURCE</v>
      </c>
    </row>
    <row r="108" spans="1:35" x14ac:dyDescent="0.2">
      <c r="A108" s="21" t="s">
        <v>560</v>
      </c>
      <c r="B108" s="21" t="s">
        <v>94</v>
      </c>
      <c r="C108" s="21" t="s">
        <v>565</v>
      </c>
      <c r="D108" s="21" t="s">
        <v>62</v>
      </c>
      <c r="E108" s="21" t="s">
        <v>63</v>
      </c>
      <c r="F108" s="21" t="s">
        <v>566</v>
      </c>
      <c r="G108" s="21" t="s">
        <v>557</v>
      </c>
      <c r="H108" s="21" t="s">
        <v>66</v>
      </c>
      <c r="I108" s="21" t="s">
        <v>60</v>
      </c>
      <c r="J108" s="21" t="s">
        <v>151</v>
      </c>
      <c r="K108" s="21" t="s">
        <v>555</v>
      </c>
      <c r="L108" s="21" t="s">
        <v>556</v>
      </c>
      <c r="M108" s="20">
        <v>500</v>
      </c>
      <c r="N108" s="20">
        <v>500</v>
      </c>
      <c r="O108" s="21" t="s">
        <v>66</v>
      </c>
      <c r="P108" s="21" t="s">
        <v>151</v>
      </c>
      <c r="Q108" s="21" t="s">
        <v>62</v>
      </c>
      <c r="R108" s="21" t="s">
        <v>70</v>
      </c>
      <c r="S108" s="21" t="s">
        <v>100</v>
      </c>
      <c r="T108" s="21" t="s">
        <v>63</v>
      </c>
      <c r="U108" s="21" t="s">
        <v>62</v>
      </c>
      <c r="V108" s="21" t="s">
        <v>63</v>
      </c>
      <c r="W108" s="21" t="s">
        <v>71</v>
      </c>
      <c r="X108" s="21" t="s">
        <v>72</v>
      </c>
      <c r="Y108" s="21" t="s">
        <v>63</v>
      </c>
      <c r="Z108" s="21" t="s">
        <v>567</v>
      </c>
      <c r="AA108" s="21" t="s">
        <v>81</v>
      </c>
      <c r="AB108" s="21" t="s">
        <v>75</v>
      </c>
      <c r="AF108" t="str">
        <f t="shared" si="2"/>
        <v>Val_Acct_BS_RLUS</v>
      </c>
      <c r="AG108" t="str">
        <f t="shared" si="3"/>
        <v>ERCC</v>
      </c>
      <c r="AI108" s="4" t="str">
        <f>_xlfn.VALUETOTEXT(SUBSTITUTE(SUBSTITUTE(tbl_DynDB_JOB_METADATA[[#This Row],[TransformationQuery]], "\n", CHAR(10)), CHAR(34), ""))</f>
        <v>Select src.* FROM SOURCE src</v>
      </c>
    </row>
    <row r="109" spans="1:35" x14ac:dyDescent="0.2">
      <c r="A109" s="21" t="s">
        <v>568</v>
      </c>
      <c r="B109" s="21" t="s">
        <v>60</v>
      </c>
      <c r="C109" s="21" t="s">
        <v>569</v>
      </c>
      <c r="D109" s="21" t="s">
        <v>62</v>
      </c>
      <c r="E109" s="21" t="s">
        <v>63</v>
      </c>
      <c r="F109" s="21" t="s">
        <v>570</v>
      </c>
      <c r="G109" s="21" t="s">
        <v>571</v>
      </c>
      <c r="H109" s="21" t="s">
        <v>86</v>
      </c>
      <c r="I109" s="21" t="s">
        <v>60</v>
      </c>
      <c r="J109" s="21" t="s">
        <v>151</v>
      </c>
      <c r="K109" s="21" t="s">
        <v>572</v>
      </c>
      <c r="L109" s="21" t="s">
        <v>573</v>
      </c>
      <c r="M109" s="20">
        <v>500</v>
      </c>
      <c r="N109" s="20">
        <v>500</v>
      </c>
      <c r="O109" s="21" t="s">
        <v>66</v>
      </c>
      <c r="P109" s="21" t="s">
        <v>151</v>
      </c>
      <c r="Q109" s="21" t="s">
        <v>62</v>
      </c>
      <c r="R109" s="21" t="s">
        <v>70</v>
      </c>
      <c r="S109" s="21" t="s">
        <v>70</v>
      </c>
      <c r="T109" s="21" t="s">
        <v>63</v>
      </c>
      <c r="U109" s="21" t="s">
        <v>62</v>
      </c>
      <c r="V109" s="21" t="s">
        <v>63</v>
      </c>
      <c r="W109" s="21" t="s">
        <v>71</v>
      </c>
      <c r="X109" s="21" t="s">
        <v>72</v>
      </c>
      <c r="Y109" s="21" t="s">
        <v>63</v>
      </c>
      <c r="Z109" s="21" t="s">
        <v>574</v>
      </c>
      <c r="AA109" s="21" t="s">
        <v>575</v>
      </c>
      <c r="AB109" s="21" t="s">
        <v>75</v>
      </c>
      <c r="AF109" t="str">
        <f t="shared" si="2"/>
        <v>Val_Acct_BS_Voya</v>
      </c>
      <c r="AG109" t="str">
        <f t="shared" si="3"/>
        <v>EBER</v>
      </c>
      <c r="AI109" s="4" t="str">
        <f>_xlfn.VALUETOTEXT(SUBSTITUTE(SUBSTITUTE(tbl_DynDB_JOB_METADATA[[#This Row],[TransformationQuery]], "\n", CHAR(10)), CHAR(34), ""))</f>
        <v>SELECT Val_Date,Company,Legal_Entity,Valuation_Block,Input_Source,DCA_Code,GAAP_Reins_Class,STAT_Reins_Class,IC_Reins,Sub_Deal,Balance_Description, Chg_in_Bal_Description,RLUS_GAAP_Balance as RLUS_GAAP_Balance, TPA_GAAP_Balance as TPA_GAAP_Balance, STAT_Balance as STAT_Balance, Tax_Balance as Tax_Balance, Affiliate_LE,Upload_Entry_Ind,Ledger_Segment,Ledger_Product,Ledger_Cohort FROM  SOURCE src</v>
      </c>
    </row>
    <row r="110" spans="1:35" x14ac:dyDescent="0.2">
      <c r="A110" s="21" t="s">
        <v>576</v>
      </c>
      <c r="B110" s="21" t="s">
        <v>60</v>
      </c>
      <c r="C110" s="21" t="s">
        <v>572</v>
      </c>
      <c r="D110" s="21" t="s">
        <v>62</v>
      </c>
      <c r="E110" s="21" t="s">
        <v>77</v>
      </c>
      <c r="F110" s="21" t="s">
        <v>573</v>
      </c>
      <c r="G110" s="21" t="s">
        <v>571</v>
      </c>
      <c r="H110" s="21" t="s">
        <v>79</v>
      </c>
      <c r="I110" s="21" t="s">
        <v>63</v>
      </c>
      <c r="J110" s="21" t="s">
        <v>63</v>
      </c>
      <c r="K110" s="21" t="s">
        <v>63</v>
      </c>
      <c r="L110" s="21" t="s">
        <v>577</v>
      </c>
      <c r="M110" s="20">
        <v>500</v>
      </c>
      <c r="N110" s="20">
        <v>500</v>
      </c>
      <c r="O110" s="21" t="s">
        <v>66</v>
      </c>
      <c r="P110" s="21" t="s">
        <v>151</v>
      </c>
      <c r="Q110" s="21" t="s">
        <v>62</v>
      </c>
      <c r="R110" s="21" t="s">
        <v>70</v>
      </c>
      <c r="S110" s="21" t="s">
        <v>70</v>
      </c>
      <c r="T110" s="21" t="s">
        <v>63</v>
      </c>
      <c r="U110" s="21" t="s">
        <v>62</v>
      </c>
      <c r="V110" s="21" t="s">
        <v>63</v>
      </c>
      <c r="W110" s="21" t="s">
        <v>71</v>
      </c>
      <c r="X110" s="21" t="s">
        <v>72</v>
      </c>
      <c r="Y110" s="21" t="s">
        <v>63</v>
      </c>
      <c r="Z110" s="21" t="s">
        <v>568</v>
      </c>
      <c r="AA110" s="21" t="s">
        <v>578</v>
      </c>
      <c r="AB110" s="21" t="s">
        <v>75</v>
      </c>
      <c r="AF110" t="str">
        <f t="shared" si="2"/>
        <v>Val_Acct_BS_Voya</v>
      </c>
      <c r="AG110" t="str">
        <f t="shared" si="3"/>
        <v>ELEB</v>
      </c>
      <c r="AI110" s="4" t="str">
        <f>_xlfn.VALUETOTEXT(SUBSTITUTE(SUBSTITUTE(tbl_DynDB_JOB_METADATA[[#This Row],[TransformationQuery]], "\n", CHAR(10)), CHAR(34), ""))</f>
        <v xml:space="preserve">Select * FROM SOURCE </v>
      </c>
    </row>
    <row r="111" spans="1:35" x14ac:dyDescent="0.2">
      <c r="A111" s="21" t="s">
        <v>574</v>
      </c>
      <c r="B111" s="21" t="s">
        <v>94</v>
      </c>
      <c r="C111" s="21" t="s">
        <v>579</v>
      </c>
      <c r="D111" s="21" t="s">
        <v>62</v>
      </c>
      <c r="E111" s="21" t="s">
        <v>63</v>
      </c>
      <c r="F111" s="21" t="s">
        <v>580</v>
      </c>
      <c r="G111" s="21" t="s">
        <v>571</v>
      </c>
      <c r="H111" s="21" t="s">
        <v>66</v>
      </c>
      <c r="I111" s="21" t="s">
        <v>60</v>
      </c>
      <c r="J111" s="21" t="s">
        <v>151</v>
      </c>
      <c r="K111" s="21" t="s">
        <v>569</v>
      </c>
      <c r="L111" s="21" t="s">
        <v>570</v>
      </c>
      <c r="M111" s="20">
        <v>500</v>
      </c>
      <c r="N111" s="20">
        <v>500</v>
      </c>
      <c r="O111" s="21" t="s">
        <v>66</v>
      </c>
      <c r="P111" s="21" t="s">
        <v>151</v>
      </c>
      <c r="Q111" s="21" t="s">
        <v>62</v>
      </c>
      <c r="R111" s="21" t="s">
        <v>70</v>
      </c>
      <c r="S111" s="21" t="s">
        <v>100</v>
      </c>
      <c r="T111" s="21" t="s">
        <v>63</v>
      </c>
      <c r="U111" s="21" t="s">
        <v>62</v>
      </c>
      <c r="V111" s="21" t="s">
        <v>63</v>
      </c>
      <c r="W111" s="21" t="s">
        <v>71</v>
      </c>
      <c r="X111" s="21" t="s">
        <v>72</v>
      </c>
      <c r="Y111" s="21" t="s">
        <v>63</v>
      </c>
      <c r="Z111" s="21" t="s">
        <v>581</v>
      </c>
      <c r="AA111" s="21" t="s">
        <v>81</v>
      </c>
      <c r="AB111" s="21" t="s">
        <v>75</v>
      </c>
      <c r="AF111" t="str">
        <f>G111</f>
        <v>Val_Acct_BS_Voya</v>
      </c>
      <c r="AG111" t="str">
        <f>RIGHT(A111,4)</f>
        <v>ERCC</v>
      </c>
      <c r="AI111" s="4" t="str">
        <f>_xlfn.VALUETOTEXT(SUBSTITUTE(SUBSTITUTE(tbl_DynDB_JOB_METADATA[[#This Row],[TransformationQuery]], "\n", CHAR(10)), CHAR(34), ""))</f>
        <v>Select src.* FROM SOURCE src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BAAC2-40F3-4FFF-83DD-77F1609EE8C3}">
  <sheetPr codeName="Sheet34"/>
  <dimension ref="E5:S110"/>
  <sheetViews>
    <sheetView showGridLines="0" workbookViewId="0">
      <selection activeCell="J21" sqref="J21"/>
    </sheetView>
  </sheetViews>
  <sheetFormatPr defaultRowHeight="14.25" x14ac:dyDescent="0.2"/>
  <sheetData>
    <row r="5" spans="5:19" x14ac:dyDescent="0.2">
      <c r="E5" s="115"/>
    </row>
    <row r="9" spans="5:19" x14ac:dyDescent="0.2">
      <c r="S9" t="s">
        <v>81</v>
      </c>
    </row>
    <row r="10" spans="5:19" x14ac:dyDescent="0.2">
      <c r="S10" t="s">
        <v>757</v>
      </c>
    </row>
    <row r="11" spans="5:19" x14ac:dyDescent="0.2">
      <c r="S11" t="s">
        <v>101</v>
      </c>
    </row>
    <row r="12" spans="5:19" x14ac:dyDescent="0.2">
      <c r="S12" t="s">
        <v>758</v>
      </c>
    </row>
    <row r="13" spans="5:19" x14ac:dyDescent="0.2">
      <c r="S13" t="s">
        <v>759</v>
      </c>
    </row>
    <row r="14" spans="5:19" x14ac:dyDescent="0.2">
      <c r="S14" t="s">
        <v>760</v>
      </c>
    </row>
    <row r="15" spans="5:19" x14ac:dyDescent="0.2">
      <c r="S15" t="s">
        <v>81</v>
      </c>
    </row>
    <row r="16" spans="5:19" x14ac:dyDescent="0.2">
      <c r="S16" t="s">
        <v>760</v>
      </c>
    </row>
    <row r="17" spans="19:19" x14ac:dyDescent="0.2">
      <c r="S17" t="s">
        <v>81</v>
      </c>
    </row>
    <row r="18" spans="19:19" x14ac:dyDescent="0.2">
      <c r="S18" t="s">
        <v>761</v>
      </c>
    </row>
    <row r="19" spans="19:19" x14ac:dyDescent="0.2">
      <c r="S19" t="s">
        <v>81</v>
      </c>
    </row>
    <row r="20" spans="19:19" x14ac:dyDescent="0.2">
      <c r="S20" t="s">
        <v>101</v>
      </c>
    </row>
    <row r="21" spans="19:19" x14ac:dyDescent="0.2">
      <c r="S21" t="s">
        <v>762</v>
      </c>
    </row>
    <row r="22" spans="19:19" x14ac:dyDescent="0.2">
      <c r="S22" t="s">
        <v>763</v>
      </c>
    </row>
    <row r="23" spans="19:19" x14ac:dyDescent="0.2">
      <c r="S23" t="s">
        <v>81</v>
      </c>
    </row>
    <row r="24" spans="19:19" x14ac:dyDescent="0.2">
      <c r="S24" t="s">
        <v>764</v>
      </c>
    </row>
    <row r="25" spans="19:19" x14ac:dyDescent="0.2">
      <c r="S25" t="s">
        <v>81</v>
      </c>
    </row>
    <row r="26" spans="19:19" x14ac:dyDescent="0.2">
      <c r="S26" t="s">
        <v>81</v>
      </c>
    </row>
    <row r="27" spans="19:19" x14ac:dyDescent="0.2">
      <c r="S27" t="s">
        <v>81</v>
      </c>
    </row>
    <row r="28" spans="19:19" x14ac:dyDescent="0.2">
      <c r="S28" t="s">
        <v>81</v>
      </c>
    </row>
    <row r="29" spans="19:19" x14ac:dyDescent="0.2">
      <c r="S29" t="s">
        <v>765</v>
      </c>
    </row>
    <row r="30" spans="19:19" x14ac:dyDescent="0.2">
      <c r="S30" t="s">
        <v>81</v>
      </c>
    </row>
    <row r="31" spans="19:19" x14ac:dyDescent="0.2">
      <c r="S31" t="s">
        <v>81</v>
      </c>
    </row>
    <row r="32" spans="19:19" x14ac:dyDescent="0.2">
      <c r="S32" t="s">
        <v>63</v>
      </c>
    </row>
    <row r="33" spans="19:19" x14ac:dyDescent="0.2">
      <c r="S33" t="s">
        <v>81</v>
      </c>
    </row>
    <row r="34" spans="19:19" x14ac:dyDescent="0.2">
      <c r="S34" t="s">
        <v>81</v>
      </c>
    </row>
    <row r="35" spans="19:19" x14ac:dyDescent="0.2">
      <c r="S35" t="s">
        <v>766</v>
      </c>
    </row>
    <row r="36" spans="19:19" x14ac:dyDescent="0.2">
      <c r="S36" t="s">
        <v>81</v>
      </c>
    </row>
    <row r="37" spans="19:19" x14ac:dyDescent="0.2">
      <c r="S37" t="s">
        <v>101</v>
      </c>
    </row>
    <row r="38" spans="19:19" x14ac:dyDescent="0.2">
      <c r="S38" t="s">
        <v>767</v>
      </c>
    </row>
    <row r="39" spans="19:19" x14ac:dyDescent="0.2">
      <c r="S39" t="s">
        <v>768</v>
      </c>
    </row>
    <row r="40" spans="19:19" x14ac:dyDescent="0.2">
      <c r="S40" t="s">
        <v>81</v>
      </c>
    </row>
    <row r="41" spans="19:19" x14ac:dyDescent="0.2">
      <c r="S41" t="s">
        <v>769</v>
      </c>
    </row>
    <row r="42" spans="19:19" x14ac:dyDescent="0.2">
      <c r="S42" t="s">
        <v>81</v>
      </c>
    </row>
    <row r="43" spans="19:19" x14ac:dyDescent="0.2">
      <c r="S43" t="s">
        <v>770</v>
      </c>
    </row>
    <row r="44" spans="19:19" x14ac:dyDescent="0.2">
      <c r="S44" t="s">
        <v>81</v>
      </c>
    </row>
    <row r="45" spans="19:19" x14ac:dyDescent="0.2">
      <c r="S45" t="s">
        <v>771</v>
      </c>
    </row>
    <row r="46" spans="19:19" x14ac:dyDescent="0.2">
      <c r="S46" t="s">
        <v>756</v>
      </c>
    </row>
    <row r="47" spans="19:19" x14ac:dyDescent="0.2">
      <c r="S47" t="s">
        <v>81</v>
      </c>
    </row>
    <row r="48" spans="19:19" x14ac:dyDescent="0.2">
      <c r="S48" t="s">
        <v>772</v>
      </c>
    </row>
    <row r="49" spans="19:19" x14ac:dyDescent="0.2">
      <c r="S49" t="s">
        <v>81</v>
      </c>
    </row>
    <row r="50" spans="19:19" x14ac:dyDescent="0.2">
      <c r="S50" t="s">
        <v>81</v>
      </c>
    </row>
    <row r="51" spans="19:19" x14ac:dyDescent="0.2">
      <c r="S51" t="s">
        <v>773</v>
      </c>
    </row>
    <row r="52" spans="19:19" x14ac:dyDescent="0.2">
      <c r="S52" t="s">
        <v>81</v>
      </c>
    </row>
    <row r="53" spans="19:19" x14ac:dyDescent="0.2">
      <c r="S53" t="s">
        <v>81</v>
      </c>
    </row>
    <row r="54" spans="19:19" x14ac:dyDescent="0.2">
      <c r="S54" t="s">
        <v>774</v>
      </c>
    </row>
    <row r="55" spans="19:19" x14ac:dyDescent="0.2">
      <c r="S55" t="s">
        <v>81</v>
      </c>
    </row>
    <row r="56" spans="19:19" x14ac:dyDescent="0.2">
      <c r="S56" t="s">
        <v>81</v>
      </c>
    </row>
    <row r="57" spans="19:19" x14ac:dyDescent="0.2">
      <c r="S57" t="s">
        <v>775</v>
      </c>
    </row>
    <row r="58" spans="19:19" x14ac:dyDescent="0.2">
      <c r="S58" t="s">
        <v>81</v>
      </c>
    </row>
    <row r="59" spans="19:19" x14ac:dyDescent="0.2">
      <c r="S59" t="s">
        <v>81</v>
      </c>
    </row>
    <row r="60" spans="19:19" x14ac:dyDescent="0.2">
      <c r="S60" t="s">
        <v>776</v>
      </c>
    </row>
    <row r="61" spans="19:19" x14ac:dyDescent="0.2">
      <c r="S61" t="s">
        <v>81</v>
      </c>
    </row>
    <row r="62" spans="19:19" x14ac:dyDescent="0.2">
      <c r="S62" t="s">
        <v>81</v>
      </c>
    </row>
    <row r="63" spans="19:19" x14ac:dyDescent="0.2">
      <c r="S63" t="s">
        <v>777</v>
      </c>
    </row>
    <row r="64" spans="19:19" x14ac:dyDescent="0.2">
      <c r="S64" t="s">
        <v>81</v>
      </c>
    </row>
    <row r="65" spans="19:19" x14ac:dyDescent="0.2">
      <c r="S65" t="s">
        <v>81</v>
      </c>
    </row>
    <row r="66" spans="19:19" x14ac:dyDescent="0.2">
      <c r="S66" t="s">
        <v>778</v>
      </c>
    </row>
    <row r="67" spans="19:19" x14ac:dyDescent="0.2">
      <c r="S67" t="s">
        <v>81</v>
      </c>
    </row>
    <row r="68" spans="19:19" x14ac:dyDescent="0.2">
      <c r="S68" t="s">
        <v>81</v>
      </c>
    </row>
    <row r="69" spans="19:19" x14ac:dyDescent="0.2">
      <c r="S69" t="s">
        <v>779</v>
      </c>
    </row>
    <row r="70" spans="19:19" x14ac:dyDescent="0.2">
      <c r="S70" t="s">
        <v>81</v>
      </c>
    </row>
    <row r="71" spans="19:19" x14ac:dyDescent="0.2">
      <c r="S71" t="s">
        <v>81</v>
      </c>
    </row>
    <row r="72" spans="19:19" x14ac:dyDescent="0.2">
      <c r="S72" t="s">
        <v>780</v>
      </c>
    </row>
    <row r="73" spans="19:19" x14ac:dyDescent="0.2">
      <c r="S73" t="s">
        <v>81</v>
      </c>
    </row>
    <row r="74" spans="19:19" x14ac:dyDescent="0.2">
      <c r="S74" t="s">
        <v>81</v>
      </c>
    </row>
    <row r="75" spans="19:19" x14ac:dyDescent="0.2">
      <c r="S75" t="s">
        <v>781</v>
      </c>
    </row>
    <row r="76" spans="19:19" x14ac:dyDescent="0.2">
      <c r="S76" t="s">
        <v>81</v>
      </c>
    </row>
    <row r="77" spans="19:19" x14ac:dyDescent="0.2">
      <c r="S77" t="s">
        <v>81</v>
      </c>
    </row>
    <row r="78" spans="19:19" x14ac:dyDescent="0.2">
      <c r="S78" t="s">
        <v>782</v>
      </c>
    </row>
    <row r="79" spans="19:19" x14ac:dyDescent="0.2">
      <c r="S79" t="s">
        <v>81</v>
      </c>
    </row>
    <row r="80" spans="19:19" x14ac:dyDescent="0.2">
      <c r="S80" t="s">
        <v>81</v>
      </c>
    </row>
    <row r="81" spans="19:19" x14ac:dyDescent="0.2">
      <c r="S81" t="s">
        <v>783</v>
      </c>
    </row>
    <row r="82" spans="19:19" x14ac:dyDescent="0.2">
      <c r="S82" t="s">
        <v>81</v>
      </c>
    </row>
    <row r="83" spans="19:19" x14ac:dyDescent="0.2">
      <c r="S83" t="s">
        <v>81</v>
      </c>
    </row>
    <row r="84" spans="19:19" x14ac:dyDescent="0.2">
      <c r="S84" t="s">
        <v>784</v>
      </c>
    </row>
    <row r="85" spans="19:19" x14ac:dyDescent="0.2">
      <c r="S85" t="s">
        <v>81</v>
      </c>
    </row>
    <row r="86" spans="19:19" x14ac:dyDescent="0.2">
      <c r="S86" t="s">
        <v>81</v>
      </c>
    </row>
    <row r="87" spans="19:19" x14ac:dyDescent="0.2">
      <c r="S87" t="s">
        <v>785</v>
      </c>
    </row>
    <row r="88" spans="19:19" x14ac:dyDescent="0.2">
      <c r="S88" t="s">
        <v>81</v>
      </c>
    </row>
    <row r="89" spans="19:19" x14ac:dyDescent="0.2">
      <c r="S89" t="s">
        <v>81</v>
      </c>
    </row>
    <row r="90" spans="19:19" x14ac:dyDescent="0.2">
      <c r="S90" t="s">
        <v>786</v>
      </c>
    </row>
    <row r="91" spans="19:19" x14ac:dyDescent="0.2">
      <c r="S91" t="s">
        <v>81</v>
      </c>
    </row>
    <row r="92" spans="19:19" x14ac:dyDescent="0.2">
      <c r="S92" t="s">
        <v>81</v>
      </c>
    </row>
    <row r="93" spans="19:19" x14ac:dyDescent="0.2">
      <c r="S93" t="s">
        <v>81</v>
      </c>
    </row>
    <row r="94" spans="19:19" x14ac:dyDescent="0.2">
      <c r="S94" t="s">
        <v>81</v>
      </c>
    </row>
    <row r="95" spans="19:19" x14ac:dyDescent="0.2">
      <c r="S95" t="s">
        <v>81</v>
      </c>
    </row>
    <row r="96" spans="19:19" x14ac:dyDescent="0.2">
      <c r="S96" t="s">
        <v>787</v>
      </c>
    </row>
    <row r="97" spans="19:19" x14ac:dyDescent="0.2">
      <c r="S97" t="s">
        <v>81</v>
      </c>
    </row>
    <row r="98" spans="19:19" x14ac:dyDescent="0.2">
      <c r="S98" t="s">
        <v>81</v>
      </c>
    </row>
    <row r="99" spans="19:19" x14ac:dyDescent="0.2">
      <c r="S99" t="s">
        <v>788</v>
      </c>
    </row>
    <row r="100" spans="19:19" x14ac:dyDescent="0.2">
      <c r="S100" t="s">
        <v>81</v>
      </c>
    </row>
    <row r="101" spans="19:19" x14ac:dyDescent="0.2">
      <c r="S101" t="s">
        <v>81</v>
      </c>
    </row>
    <row r="102" spans="19:19" x14ac:dyDescent="0.2">
      <c r="S102" t="s">
        <v>81</v>
      </c>
    </row>
    <row r="103" spans="19:19" x14ac:dyDescent="0.2">
      <c r="S103" t="s">
        <v>101</v>
      </c>
    </row>
    <row r="104" spans="19:19" x14ac:dyDescent="0.2">
      <c r="S104" t="s">
        <v>789</v>
      </c>
    </row>
    <row r="105" spans="19:19" x14ac:dyDescent="0.2">
      <c r="S105" t="s">
        <v>790</v>
      </c>
    </row>
    <row r="106" spans="19:19" x14ac:dyDescent="0.2">
      <c r="S106" t="s">
        <v>564</v>
      </c>
    </row>
    <row r="107" spans="19:19" x14ac:dyDescent="0.2">
      <c r="S107" t="s">
        <v>81</v>
      </c>
    </row>
    <row r="108" spans="19:19" x14ac:dyDescent="0.2">
      <c r="S108" t="s">
        <v>791</v>
      </c>
    </row>
    <row r="109" spans="19:19" x14ac:dyDescent="0.2">
      <c r="S109" t="s">
        <v>792</v>
      </c>
    </row>
    <row r="110" spans="19:19" x14ac:dyDescent="0.2">
      <c r="S110" t="s">
        <v>81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E7CBD-ABBD-49ED-AC16-00B7FA00359E}">
  <sheetPr codeName="Sheet29"/>
  <dimension ref="A3:B107"/>
  <sheetViews>
    <sheetView workbookViewId="0"/>
  </sheetViews>
  <sheetFormatPr defaultRowHeight="14.25" x14ac:dyDescent="0.2"/>
  <cols>
    <col min="1" max="1" width="39.5" customWidth="1"/>
    <col min="2" max="2" width="10.25" customWidth="1"/>
  </cols>
  <sheetData>
    <row r="3" spans="1:2" x14ac:dyDescent="0.2">
      <c r="A3" s="7" t="s">
        <v>591</v>
      </c>
      <c r="B3" s="7" t="s">
        <v>588</v>
      </c>
    </row>
    <row r="4" spans="1:2" x14ac:dyDescent="0.2">
      <c r="A4" s="8" t="s">
        <v>65</v>
      </c>
      <c r="B4" s="8" t="s">
        <v>585</v>
      </c>
    </row>
    <row r="5" spans="1:2" x14ac:dyDescent="0.2">
      <c r="A5" s="8" t="s">
        <v>65</v>
      </c>
      <c r="B5" s="8" t="s">
        <v>593</v>
      </c>
    </row>
    <row r="6" spans="1:2" x14ac:dyDescent="0.2">
      <c r="A6" s="8" t="s">
        <v>85</v>
      </c>
      <c r="B6" s="8" t="s">
        <v>594</v>
      </c>
    </row>
    <row r="7" spans="1:2" x14ac:dyDescent="0.2">
      <c r="A7" s="8" t="s">
        <v>104</v>
      </c>
      <c r="B7" s="8" t="s">
        <v>594</v>
      </c>
    </row>
    <row r="8" spans="1:2" x14ac:dyDescent="0.2">
      <c r="A8" s="8" t="s">
        <v>97</v>
      </c>
      <c r="B8" s="8" t="s">
        <v>595</v>
      </c>
    </row>
    <row r="9" spans="1:2" x14ac:dyDescent="0.2">
      <c r="A9" s="8" t="s">
        <v>113</v>
      </c>
      <c r="B9" s="8" t="s">
        <v>594</v>
      </c>
    </row>
    <row r="10" spans="1:2" x14ac:dyDescent="0.2">
      <c r="A10" s="8" t="s">
        <v>121</v>
      </c>
      <c r="B10" s="8" t="s">
        <v>585</v>
      </c>
    </row>
    <row r="11" spans="1:2" x14ac:dyDescent="0.2">
      <c r="A11" s="8" t="s">
        <v>121</v>
      </c>
      <c r="B11" s="8" t="s">
        <v>593</v>
      </c>
    </row>
    <row r="12" spans="1:2" x14ac:dyDescent="0.2">
      <c r="A12" s="8" t="s">
        <v>131</v>
      </c>
      <c r="B12" s="8" t="s">
        <v>585</v>
      </c>
    </row>
    <row r="13" spans="1:2" x14ac:dyDescent="0.2">
      <c r="A13" s="8" t="s">
        <v>131</v>
      </c>
      <c r="B13" s="8" t="s">
        <v>593</v>
      </c>
    </row>
    <row r="14" spans="1:2" x14ac:dyDescent="0.2">
      <c r="A14" s="8" t="s">
        <v>140</v>
      </c>
      <c r="B14" s="8" t="s">
        <v>585</v>
      </c>
    </row>
    <row r="15" spans="1:2" x14ac:dyDescent="0.2">
      <c r="A15" s="8" t="s">
        <v>140</v>
      </c>
      <c r="B15" s="8" t="s">
        <v>593</v>
      </c>
    </row>
    <row r="16" spans="1:2" x14ac:dyDescent="0.2">
      <c r="A16" s="8" t="s">
        <v>150</v>
      </c>
      <c r="B16" s="8" t="s">
        <v>595</v>
      </c>
    </row>
    <row r="17" spans="1:2" x14ac:dyDescent="0.2">
      <c r="A17" s="8" t="s">
        <v>150</v>
      </c>
      <c r="B17" s="8" t="s">
        <v>594</v>
      </c>
    </row>
    <row r="18" spans="1:2" x14ac:dyDescent="0.2">
      <c r="A18" s="8" t="s">
        <v>163</v>
      </c>
      <c r="B18" s="8" t="s">
        <v>585</v>
      </c>
    </row>
    <row r="19" spans="1:2" x14ac:dyDescent="0.2">
      <c r="A19" s="8" t="s">
        <v>163</v>
      </c>
      <c r="B19" s="8" t="s">
        <v>593</v>
      </c>
    </row>
    <row r="20" spans="1:2" x14ac:dyDescent="0.2">
      <c r="A20" s="8" t="s">
        <v>173</v>
      </c>
      <c r="B20" s="8" t="s">
        <v>585</v>
      </c>
    </row>
    <row r="21" spans="1:2" x14ac:dyDescent="0.2">
      <c r="A21" s="8" t="s">
        <v>173</v>
      </c>
      <c r="B21" s="8" t="s">
        <v>593</v>
      </c>
    </row>
    <row r="22" spans="1:2" x14ac:dyDescent="0.2">
      <c r="A22" s="8" t="s">
        <v>194</v>
      </c>
      <c r="B22" s="8" t="s">
        <v>585</v>
      </c>
    </row>
    <row r="23" spans="1:2" x14ac:dyDescent="0.2">
      <c r="A23" s="8" t="s">
        <v>194</v>
      </c>
      <c r="B23" s="8" t="s">
        <v>593</v>
      </c>
    </row>
    <row r="24" spans="1:2" x14ac:dyDescent="0.2">
      <c r="A24" s="8" t="s">
        <v>194</v>
      </c>
      <c r="B24" s="8" t="s">
        <v>596</v>
      </c>
    </row>
    <row r="25" spans="1:2" x14ac:dyDescent="0.2">
      <c r="A25" s="8" t="s">
        <v>183</v>
      </c>
      <c r="B25" s="8" t="s">
        <v>585</v>
      </c>
    </row>
    <row r="26" spans="1:2" x14ac:dyDescent="0.2">
      <c r="A26" s="8" t="s">
        <v>183</v>
      </c>
      <c r="B26" s="8" t="s">
        <v>593</v>
      </c>
    </row>
    <row r="27" spans="1:2" x14ac:dyDescent="0.2">
      <c r="A27" s="8" t="s">
        <v>183</v>
      </c>
      <c r="B27" s="8" t="s">
        <v>596</v>
      </c>
    </row>
    <row r="28" spans="1:2" x14ac:dyDescent="0.2">
      <c r="A28" s="8" t="s">
        <v>206</v>
      </c>
      <c r="B28" s="8" t="s">
        <v>585</v>
      </c>
    </row>
    <row r="29" spans="1:2" x14ac:dyDescent="0.2">
      <c r="A29" s="8" t="s">
        <v>206</v>
      </c>
      <c r="B29" s="8" t="s">
        <v>593</v>
      </c>
    </row>
    <row r="30" spans="1:2" x14ac:dyDescent="0.2">
      <c r="A30" s="8" t="s">
        <v>206</v>
      </c>
      <c r="B30" s="8" t="s">
        <v>596</v>
      </c>
    </row>
    <row r="31" spans="1:2" x14ac:dyDescent="0.2">
      <c r="A31" s="8" t="s">
        <v>217</v>
      </c>
      <c r="B31" s="8" t="s">
        <v>585</v>
      </c>
    </row>
    <row r="32" spans="1:2" x14ac:dyDescent="0.2">
      <c r="A32" s="8" t="s">
        <v>217</v>
      </c>
      <c r="B32" s="8" t="s">
        <v>593</v>
      </c>
    </row>
    <row r="33" spans="1:2" x14ac:dyDescent="0.2">
      <c r="A33" s="8" t="s">
        <v>228</v>
      </c>
      <c r="B33" s="8" t="s">
        <v>595</v>
      </c>
    </row>
    <row r="34" spans="1:2" x14ac:dyDescent="0.2">
      <c r="A34" s="8" t="s">
        <v>228</v>
      </c>
      <c r="B34" s="8" t="s">
        <v>594</v>
      </c>
    </row>
    <row r="35" spans="1:2" x14ac:dyDescent="0.2">
      <c r="A35" s="8" t="s">
        <v>239</v>
      </c>
      <c r="B35" s="8" t="s">
        <v>585</v>
      </c>
    </row>
    <row r="36" spans="1:2" x14ac:dyDescent="0.2">
      <c r="A36" s="8" t="s">
        <v>239</v>
      </c>
      <c r="B36" s="8" t="s">
        <v>593</v>
      </c>
    </row>
    <row r="37" spans="1:2" x14ac:dyDescent="0.2">
      <c r="A37" s="8" t="s">
        <v>259</v>
      </c>
      <c r="B37" s="8" t="s">
        <v>585</v>
      </c>
    </row>
    <row r="38" spans="1:2" x14ac:dyDescent="0.2">
      <c r="A38" s="8" t="s">
        <v>259</v>
      </c>
      <c r="B38" s="8" t="s">
        <v>593</v>
      </c>
    </row>
    <row r="39" spans="1:2" x14ac:dyDescent="0.2">
      <c r="A39" s="8" t="s">
        <v>249</v>
      </c>
      <c r="B39" s="8" t="s">
        <v>585</v>
      </c>
    </row>
    <row r="40" spans="1:2" x14ac:dyDescent="0.2">
      <c r="A40" s="8" t="s">
        <v>249</v>
      </c>
      <c r="B40" s="8" t="s">
        <v>593</v>
      </c>
    </row>
    <row r="41" spans="1:2" x14ac:dyDescent="0.2">
      <c r="A41" s="8" t="s">
        <v>276</v>
      </c>
      <c r="B41" s="8" t="s">
        <v>585</v>
      </c>
    </row>
    <row r="42" spans="1:2" x14ac:dyDescent="0.2">
      <c r="A42" s="8" t="s">
        <v>276</v>
      </c>
      <c r="B42" s="8" t="s">
        <v>593</v>
      </c>
    </row>
    <row r="43" spans="1:2" x14ac:dyDescent="0.2">
      <c r="A43" s="8" t="s">
        <v>268</v>
      </c>
      <c r="B43" s="8" t="s">
        <v>597</v>
      </c>
    </row>
    <row r="44" spans="1:2" x14ac:dyDescent="0.2">
      <c r="A44" s="8" t="s">
        <v>14</v>
      </c>
      <c r="B44" s="8" t="s">
        <v>585</v>
      </c>
    </row>
    <row r="45" spans="1:2" x14ac:dyDescent="0.2">
      <c r="A45" s="8" t="s">
        <v>14</v>
      </c>
      <c r="B45" s="8" t="s">
        <v>586</v>
      </c>
    </row>
    <row r="46" spans="1:2" x14ac:dyDescent="0.2">
      <c r="A46" s="8" t="s">
        <v>14</v>
      </c>
      <c r="B46" s="8" t="s">
        <v>587</v>
      </c>
    </row>
    <row r="47" spans="1:2" x14ac:dyDescent="0.2">
      <c r="A47" s="8" t="s">
        <v>30</v>
      </c>
      <c r="B47" s="8" t="s">
        <v>585</v>
      </c>
    </row>
    <row r="48" spans="1:2" x14ac:dyDescent="0.2">
      <c r="A48" s="8" t="s">
        <v>30</v>
      </c>
      <c r="B48" s="8" t="s">
        <v>586</v>
      </c>
    </row>
    <row r="49" spans="1:2" x14ac:dyDescent="0.2">
      <c r="A49" s="8" t="s">
        <v>30</v>
      </c>
      <c r="B49" s="8" t="s">
        <v>587</v>
      </c>
    </row>
    <row r="50" spans="1:2" x14ac:dyDescent="0.2">
      <c r="A50" s="8" t="s">
        <v>13</v>
      </c>
      <c r="B50" s="8" t="s">
        <v>585</v>
      </c>
    </row>
    <row r="51" spans="1:2" x14ac:dyDescent="0.2">
      <c r="A51" s="8" t="s">
        <v>13</v>
      </c>
      <c r="B51" s="8" t="s">
        <v>586</v>
      </c>
    </row>
    <row r="52" spans="1:2" x14ac:dyDescent="0.2">
      <c r="A52" s="8" t="s">
        <v>13</v>
      </c>
      <c r="B52" s="8" t="s">
        <v>587</v>
      </c>
    </row>
    <row r="53" spans="1:2" x14ac:dyDescent="0.2">
      <c r="A53" s="8" t="s">
        <v>20</v>
      </c>
      <c r="B53" s="8" t="s">
        <v>585</v>
      </c>
    </row>
    <row r="54" spans="1:2" x14ac:dyDescent="0.2">
      <c r="A54" s="8" t="s">
        <v>20</v>
      </c>
      <c r="B54" s="8" t="s">
        <v>586</v>
      </c>
    </row>
    <row r="55" spans="1:2" x14ac:dyDescent="0.2">
      <c r="A55" s="8" t="s">
        <v>20</v>
      </c>
      <c r="B55" s="8" t="s">
        <v>587</v>
      </c>
    </row>
    <row r="56" spans="1:2" x14ac:dyDescent="0.2">
      <c r="A56" s="8" t="s">
        <v>26</v>
      </c>
      <c r="B56" s="8" t="s">
        <v>585</v>
      </c>
    </row>
    <row r="57" spans="1:2" x14ac:dyDescent="0.2">
      <c r="A57" s="8" t="s">
        <v>26</v>
      </c>
      <c r="B57" s="8" t="s">
        <v>586</v>
      </c>
    </row>
    <row r="58" spans="1:2" x14ac:dyDescent="0.2">
      <c r="A58" s="8" t="s">
        <v>26</v>
      </c>
      <c r="B58" s="8" t="s">
        <v>587</v>
      </c>
    </row>
    <row r="59" spans="1:2" x14ac:dyDescent="0.2">
      <c r="A59" s="8" t="s">
        <v>16</v>
      </c>
      <c r="B59" s="8" t="s">
        <v>585</v>
      </c>
    </row>
    <row r="60" spans="1:2" x14ac:dyDescent="0.2">
      <c r="A60" s="8" t="s">
        <v>16</v>
      </c>
      <c r="B60" s="8" t="s">
        <v>586</v>
      </c>
    </row>
    <row r="61" spans="1:2" x14ac:dyDescent="0.2">
      <c r="A61" s="8" t="s">
        <v>16</v>
      </c>
      <c r="B61" s="8" t="s">
        <v>587</v>
      </c>
    </row>
    <row r="62" spans="1:2" x14ac:dyDescent="0.2">
      <c r="A62" s="8" t="s">
        <v>19</v>
      </c>
      <c r="B62" s="8" t="s">
        <v>585</v>
      </c>
    </row>
    <row r="63" spans="1:2" x14ac:dyDescent="0.2">
      <c r="A63" s="8" t="s">
        <v>19</v>
      </c>
      <c r="B63" s="8" t="s">
        <v>586</v>
      </c>
    </row>
    <row r="64" spans="1:2" x14ac:dyDescent="0.2">
      <c r="A64" s="8" t="s">
        <v>19</v>
      </c>
      <c r="B64" s="8" t="s">
        <v>587</v>
      </c>
    </row>
    <row r="65" spans="1:2" x14ac:dyDescent="0.2">
      <c r="A65" s="8" t="s">
        <v>24</v>
      </c>
      <c r="B65" s="8" t="s">
        <v>585</v>
      </c>
    </row>
    <row r="66" spans="1:2" x14ac:dyDescent="0.2">
      <c r="A66" s="8" t="s">
        <v>24</v>
      </c>
      <c r="B66" s="8" t="s">
        <v>586</v>
      </c>
    </row>
    <row r="67" spans="1:2" x14ac:dyDescent="0.2">
      <c r="A67" s="8" t="s">
        <v>24</v>
      </c>
      <c r="B67" s="8" t="s">
        <v>587</v>
      </c>
    </row>
    <row r="68" spans="1:2" x14ac:dyDescent="0.2">
      <c r="A68" s="8" t="s">
        <v>21</v>
      </c>
      <c r="B68" s="8" t="s">
        <v>585</v>
      </c>
    </row>
    <row r="69" spans="1:2" x14ac:dyDescent="0.2">
      <c r="A69" s="8" t="s">
        <v>21</v>
      </c>
      <c r="B69" s="8" t="s">
        <v>586</v>
      </c>
    </row>
    <row r="70" spans="1:2" x14ac:dyDescent="0.2">
      <c r="A70" s="8" t="s">
        <v>21</v>
      </c>
      <c r="B70" s="8" t="s">
        <v>587</v>
      </c>
    </row>
    <row r="71" spans="1:2" x14ac:dyDescent="0.2">
      <c r="A71" s="8" t="s">
        <v>23</v>
      </c>
      <c r="B71" s="8" t="s">
        <v>585</v>
      </c>
    </row>
    <row r="72" spans="1:2" x14ac:dyDescent="0.2">
      <c r="A72" s="8" t="s">
        <v>23</v>
      </c>
      <c r="B72" s="8" t="s">
        <v>586</v>
      </c>
    </row>
    <row r="73" spans="1:2" x14ac:dyDescent="0.2">
      <c r="A73" s="8" t="s">
        <v>23</v>
      </c>
      <c r="B73" s="8" t="s">
        <v>587</v>
      </c>
    </row>
    <row r="74" spans="1:2" x14ac:dyDescent="0.2">
      <c r="A74" s="8" t="s">
        <v>22</v>
      </c>
      <c r="B74" s="8" t="s">
        <v>585</v>
      </c>
    </row>
    <row r="75" spans="1:2" x14ac:dyDescent="0.2">
      <c r="A75" s="8" t="s">
        <v>22</v>
      </c>
      <c r="B75" s="8" t="s">
        <v>586</v>
      </c>
    </row>
    <row r="76" spans="1:2" x14ac:dyDescent="0.2">
      <c r="A76" s="8" t="s">
        <v>22</v>
      </c>
      <c r="B76" s="8" t="s">
        <v>587</v>
      </c>
    </row>
    <row r="77" spans="1:2" x14ac:dyDescent="0.2">
      <c r="A77" s="8" t="s">
        <v>439</v>
      </c>
      <c r="B77" s="8" t="s">
        <v>585</v>
      </c>
    </row>
    <row r="78" spans="1:2" x14ac:dyDescent="0.2">
      <c r="A78" s="8" t="s">
        <v>439</v>
      </c>
      <c r="B78" s="8" t="s">
        <v>586</v>
      </c>
    </row>
    <row r="79" spans="1:2" x14ac:dyDescent="0.2">
      <c r="A79" s="8" t="s">
        <v>439</v>
      </c>
      <c r="B79" s="8" t="s">
        <v>587</v>
      </c>
    </row>
    <row r="80" spans="1:2" x14ac:dyDescent="0.2">
      <c r="A80" s="8" t="s">
        <v>25</v>
      </c>
      <c r="B80" s="8" t="s">
        <v>585</v>
      </c>
    </row>
    <row r="81" spans="1:2" x14ac:dyDescent="0.2">
      <c r="A81" s="8" t="s">
        <v>25</v>
      </c>
      <c r="B81" s="8" t="s">
        <v>586</v>
      </c>
    </row>
    <row r="82" spans="1:2" x14ac:dyDescent="0.2">
      <c r="A82" s="8" t="s">
        <v>25</v>
      </c>
      <c r="B82" s="8" t="s">
        <v>587</v>
      </c>
    </row>
    <row r="83" spans="1:2" x14ac:dyDescent="0.2">
      <c r="A83" s="8" t="s">
        <v>17</v>
      </c>
      <c r="B83" s="8" t="s">
        <v>585</v>
      </c>
    </row>
    <row r="84" spans="1:2" x14ac:dyDescent="0.2">
      <c r="A84" s="8" t="s">
        <v>17</v>
      </c>
      <c r="B84" s="8" t="s">
        <v>586</v>
      </c>
    </row>
    <row r="85" spans="1:2" x14ac:dyDescent="0.2">
      <c r="A85" s="8" t="s">
        <v>17</v>
      </c>
      <c r="B85" s="8" t="s">
        <v>587</v>
      </c>
    </row>
    <row r="86" spans="1:2" x14ac:dyDescent="0.2">
      <c r="A86" s="8" t="s">
        <v>15</v>
      </c>
      <c r="B86" s="8" t="s">
        <v>585</v>
      </c>
    </row>
    <row r="87" spans="1:2" x14ac:dyDescent="0.2">
      <c r="A87" s="8" t="s">
        <v>15</v>
      </c>
      <c r="B87" s="8" t="s">
        <v>586</v>
      </c>
    </row>
    <row r="88" spans="1:2" x14ac:dyDescent="0.2">
      <c r="A88" s="8" t="s">
        <v>15</v>
      </c>
      <c r="B88" s="8" t="s">
        <v>587</v>
      </c>
    </row>
    <row r="89" spans="1:2" x14ac:dyDescent="0.2">
      <c r="A89" s="8" t="s">
        <v>496</v>
      </c>
      <c r="B89" s="8" t="s">
        <v>585</v>
      </c>
    </row>
    <row r="90" spans="1:2" x14ac:dyDescent="0.2">
      <c r="A90" s="8" t="s">
        <v>496</v>
      </c>
      <c r="B90" s="8" t="s">
        <v>586</v>
      </c>
    </row>
    <row r="91" spans="1:2" x14ac:dyDescent="0.2">
      <c r="A91" s="8" t="s">
        <v>496</v>
      </c>
      <c r="B91" s="8" t="s">
        <v>587</v>
      </c>
    </row>
    <row r="92" spans="1:2" x14ac:dyDescent="0.2">
      <c r="A92" s="8" t="s">
        <v>510</v>
      </c>
      <c r="B92" s="8" t="s">
        <v>585</v>
      </c>
    </row>
    <row r="93" spans="1:2" x14ac:dyDescent="0.2">
      <c r="A93" s="8" t="s">
        <v>510</v>
      </c>
      <c r="B93" s="8" t="s">
        <v>586</v>
      </c>
    </row>
    <row r="94" spans="1:2" x14ac:dyDescent="0.2">
      <c r="A94" s="8" t="s">
        <v>510</v>
      </c>
      <c r="B94" s="8" t="s">
        <v>587</v>
      </c>
    </row>
    <row r="95" spans="1:2" x14ac:dyDescent="0.2">
      <c r="A95" s="8" t="s">
        <v>526</v>
      </c>
      <c r="B95" s="8" t="s">
        <v>585</v>
      </c>
    </row>
    <row r="96" spans="1:2" x14ac:dyDescent="0.2">
      <c r="A96" s="8" t="s">
        <v>526</v>
      </c>
      <c r="B96" s="8" t="s">
        <v>586</v>
      </c>
    </row>
    <row r="97" spans="1:2" x14ac:dyDescent="0.2">
      <c r="A97" s="8" t="s">
        <v>526</v>
      </c>
      <c r="B97" s="8" t="s">
        <v>587</v>
      </c>
    </row>
    <row r="98" spans="1:2" x14ac:dyDescent="0.2">
      <c r="A98" s="8" t="s">
        <v>541</v>
      </c>
      <c r="B98" s="8" t="s">
        <v>585</v>
      </c>
    </row>
    <row r="99" spans="1:2" x14ac:dyDescent="0.2">
      <c r="A99" s="8" t="s">
        <v>546</v>
      </c>
      <c r="B99" s="8" t="s">
        <v>595</v>
      </c>
    </row>
    <row r="100" spans="1:2" x14ac:dyDescent="0.2">
      <c r="A100" s="8" t="s">
        <v>546</v>
      </c>
      <c r="B100" s="8" t="s">
        <v>598</v>
      </c>
    </row>
    <row r="101" spans="1:2" x14ac:dyDescent="0.2">
      <c r="A101" s="8" t="s">
        <v>557</v>
      </c>
      <c r="B101" s="8" t="s">
        <v>585</v>
      </c>
    </row>
    <row r="102" spans="1:2" x14ac:dyDescent="0.2">
      <c r="A102" s="8" t="s">
        <v>557</v>
      </c>
      <c r="B102" s="8" t="s">
        <v>593</v>
      </c>
    </row>
    <row r="103" spans="1:2" x14ac:dyDescent="0.2">
      <c r="A103" s="8" t="s">
        <v>557</v>
      </c>
      <c r="B103" s="8" t="s">
        <v>596</v>
      </c>
    </row>
    <row r="104" spans="1:2" x14ac:dyDescent="0.2">
      <c r="A104" s="8" t="s">
        <v>571</v>
      </c>
      <c r="B104" s="8" t="s">
        <v>585</v>
      </c>
    </row>
    <row r="105" spans="1:2" x14ac:dyDescent="0.2">
      <c r="A105" s="8" t="s">
        <v>571</v>
      </c>
      <c r="B105" s="8" t="s">
        <v>593</v>
      </c>
    </row>
    <row r="106" spans="1:2" x14ac:dyDescent="0.2">
      <c r="A106" s="8" t="s">
        <v>571</v>
      </c>
      <c r="B106" s="8" t="s">
        <v>596</v>
      </c>
    </row>
    <row r="107" spans="1:2" x14ac:dyDescent="0.2">
      <c r="A107" s="8" t="s">
        <v>592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570F-75A1-4286-BE8C-8E35A47E48A0}">
  <sheetPr codeName="Sheet27"/>
  <dimension ref="B4:C6"/>
  <sheetViews>
    <sheetView workbookViewId="0"/>
  </sheetViews>
  <sheetFormatPr defaultRowHeight="14.25" x14ac:dyDescent="0.2"/>
  <sheetData>
    <row r="4" spans="2:3" x14ac:dyDescent="0.2">
      <c r="B4" t="s">
        <v>13</v>
      </c>
      <c r="C4" t="s">
        <v>585</v>
      </c>
    </row>
    <row r="5" spans="2:3" x14ac:dyDescent="0.2">
      <c r="B5" t="s">
        <v>13</v>
      </c>
      <c r="C5" t="s">
        <v>586</v>
      </c>
    </row>
    <row r="6" spans="2:3" x14ac:dyDescent="0.2">
      <c r="B6" t="s">
        <v>13</v>
      </c>
      <c r="C6" t="s">
        <v>587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B5FFD-C760-44CD-B8C9-0EFE9B431BCF}">
  <sheetPr codeName="shMap_Block"/>
  <dimension ref="A1:A2"/>
  <sheetViews>
    <sheetView workbookViewId="0"/>
  </sheetViews>
  <sheetFormatPr defaultRowHeight="14.25" x14ac:dyDescent="0.2"/>
  <cols>
    <col min="1" max="1" width="14.25" customWidth="1"/>
  </cols>
  <sheetData>
    <row r="1" spans="1:1" ht="20.25" thickBot="1" x14ac:dyDescent="0.35">
      <c r="A1" s="9" t="s">
        <v>13</v>
      </c>
    </row>
    <row r="2" spans="1:1" ht="15" thickTop="1" x14ac:dyDescent="0.2">
      <c r="A2" s="10" t="s">
        <v>599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E2AC8-F3E7-461F-93C1-0916A05F9966}">
  <sheetPr codeName="Sheet25"/>
  <dimension ref="A1"/>
  <sheetViews>
    <sheetView workbookViewId="0">
      <selection activeCell="D6" sqref="D6"/>
    </sheetView>
  </sheetViews>
  <sheetFormatPr defaultRowHeight="14.2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4EAEE-057B-4B9E-A72E-7DD53464697D}">
  <sheetPr codeName="Sheet24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A32DE-0A38-444F-81C6-AFFED077EC22}">
  <sheetPr codeName="Sheet23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B4BE5-C5F4-478B-9F60-99B2BA8F43DF}">
  <sheetPr codeName="Sheet22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AE76D-C061-47FA-BDAB-E40B8A3A72A7}">
  <sheetPr codeName="Sheet21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A1CD4-E0A0-4E61-84EB-BA1CDC25DA75}">
  <sheetPr codeName="Sheet20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44D7C-D098-425C-9103-F075735BB4F4}">
  <sheetPr codeName="Sheet19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840CC-2CEB-4F03-B26E-00119769C619}">
  <sheetPr codeName="Sheet18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299E9-A264-4DBB-848D-01772BE304D9}">
  <sheetPr codeName="shMap_LE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37718-2465-4F0F-BE40-F5F5546E0E8B}">
  <sheetPr codeName="Sheet16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DA50F-F4F8-46E7-A2A6-EED4AC462C8C}">
  <sheetPr codeName="Sheet15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24366-A5AA-4349-8475-29205C400503}">
  <sheetPr codeName="Sheet14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F2F7C-FD0F-4A10-B7F7-7903A0A21FE2}">
  <sheetPr codeName="shMap_InputSource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5F991-8531-4726-9DE9-2BA221659DA4}">
  <sheetPr codeName="Sheet12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81B7D-E7BC-4D54-A99F-F96EBB4731B2}">
  <sheetPr codeName="shMap_SubDeal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1065D-4E02-4CA3-A016-561F7192E084}">
  <sheetPr codeName="shMap_Balance_IS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F407A-2C66-45FD-A7AF-C6270E034B0F}">
  <sheetPr codeName="shMap_Balance_BS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7E281-E759-492D-9992-9439F8045C37}">
  <sheetPr codeName="Sheet6"/>
  <dimension ref="B4:F31"/>
  <sheetViews>
    <sheetView workbookViewId="0">
      <selection activeCell="C15" sqref="C15:C25"/>
    </sheetView>
  </sheetViews>
  <sheetFormatPr defaultRowHeight="14.25" x14ac:dyDescent="0.2"/>
  <sheetData>
    <row r="4" spans="2:6" x14ac:dyDescent="0.2">
      <c r="B4" t="s">
        <v>0</v>
      </c>
    </row>
    <row r="6" spans="2:6" x14ac:dyDescent="0.2"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2:6" x14ac:dyDescent="0.2">
      <c r="B7">
        <v>1</v>
      </c>
      <c r="C7" t="s">
        <v>6</v>
      </c>
    </row>
    <row r="8" spans="2:6" x14ac:dyDescent="0.2">
      <c r="B8">
        <f>B7+1</f>
        <v>2</v>
      </c>
      <c r="C8" t="s">
        <v>7</v>
      </c>
    </row>
    <row r="9" spans="2:6" x14ac:dyDescent="0.2">
      <c r="B9">
        <f t="shared" ref="B9:B22" si="0">B8+1</f>
        <v>3</v>
      </c>
      <c r="C9" t="s">
        <v>8</v>
      </c>
    </row>
    <row r="10" spans="2:6" x14ac:dyDescent="0.2">
      <c r="B10">
        <f t="shared" si="0"/>
        <v>4</v>
      </c>
      <c r="C10" t="s">
        <v>9</v>
      </c>
    </row>
    <row r="11" spans="2:6" x14ac:dyDescent="0.2">
      <c r="B11">
        <f t="shared" si="0"/>
        <v>5</v>
      </c>
      <c r="C11" t="s">
        <v>10</v>
      </c>
    </row>
    <row r="12" spans="2:6" x14ac:dyDescent="0.2">
      <c r="B12">
        <f t="shared" si="0"/>
        <v>6</v>
      </c>
      <c r="C12" t="s">
        <v>11</v>
      </c>
    </row>
    <row r="13" spans="2:6" x14ac:dyDescent="0.2">
      <c r="B13">
        <f t="shared" si="0"/>
        <v>7</v>
      </c>
      <c r="C13" t="s">
        <v>12</v>
      </c>
    </row>
    <row r="14" spans="2:6" x14ac:dyDescent="0.2">
      <c r="B14">
        <f t="shared" si="0"/>
        <v>8</v>
      </c>
      <c r="C14" t="s">
        <v>13</v>
      </c>
    </row>
    <row r="15" spans="2:6" x14ac:dyDescent="0.2">
      <c r="B15">
        <f t="shared" si="0"/>
        <v>9</v>
      </c>
      <c r="C15" t="s">
        <v>14</v>
      </c>
    </row>
    <row r="16" spans="2:6" x14ac:dyDescent="0.2">
      <c r="B16">
        <f t="shared" si="0"/>
        <v>10</v>
      </c>
      <c r="C16" t="s">
        <v>30</v>
      </c>
    </row>
    <row r="17" spans="2:3" x14ac:dyDescent="0.2">
      <c r="B17">
        <f t="shared" si="0"/>
        <v>11</v>
      </c>
      <c r="C17" t="s">
        <v>15</v>
      </c>
    </row>
    <row r="18" spans="2:3" x14ac:dyDescent="0.2">
      <c r="B18">
        <f t="shared" si="0"/>
        <v>12</v>
      </c>
      <c r="C18" t="s">
        <v>16</v>
      </c>
    </row>
    <row r="19" spans="2:3" x14ac:dyDescent="0.2">
      <c r="B19">
        <f t="shared" si="0"/>
        <v>13</v>
      </c>
      <c r="C19" t="s">
        <v>19</v>
      </c>
    </row>
    <row r="20" spans="2:3" x14ac:dyDescent="0.2">
      <c r="B20">
        <f t="shared" si="0"/>
        <v>14</v>
      </c>
      <c r="C20" t="s">
        <v>17</v>
      </c>
    </row>
    <row r="21" spans="2:3" x14ac:dyDescent="0.2">
      <c r="B21">
        <f t="shared" si="0"/>
        <v>15</v>
      </c>
      <c r="C21" t="s">
        <v>18</v>
      </c>
    </row>
    <row r="22" spans="2:3" x14ac:dyDescent="0.2">
      <c r="B22">
        <f t="shared" si="0"/>
        <v>16</v>
      </c>
      <c r="C22" t="s">
        <v>20</v>
      </c>
    </row>
    <row r="23" spans="2:3" x14ac:dyDescent="0.2">
      <c r="C23" t="s">
        <v>21</v>
      </c>
    </row>
    <row r="24" spans="2:3" x14ac:dyDescent="0.2">
      <c r="C24" t="s">
        <v>22</v>
      </c>
    </row>
    <row r="25" spans="2:3" x14ac:dyDescent="0.2">
      <c r="C25" t="s">
        <v>23</v>
      </c>
    </row>
    <row r="26" spans="2:3" x14ac:dyDescent="0.2">
      <c r="C26" t="s">
        <v>24</v>
      </c>
    </row>
    <row r="27" spans="2:3" x14ac:dyDescent="0.2">
      <c r="C27" t="s">
        <v>25</v>
      </c>
    </row>
    <row r="28" spans="2:3" x14ac:dyDescent="0.2">
      <c r="C28" t="s">
        <v>26</v>
      </c>
    </row>
    <row r="29" spans="2:3" x14ac:dyDescent="0.2">
      <c r="C29" t="s">
        <v>27</v>
      </c>
    </row>
    <row r="30" spans="2:3" x14ac:dyDescent="0.2">
      <c r="C30" t="s">
        <v>28</v>
      </c>
    </row>
    <row r="31" spans="2:3" x14ac:dyDescent="0.2">
      <c r="C31" t="s">
        <v>29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CFBAF-1664-465B-B7EF-D9429CC5AFCF}">
  <sheetPr codeName="Sheet7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BAE91-DD71-4FF3-B67D-10D81AA93A75}">
  <sheetPr codeName="Sheet8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4D2CF7C-358E-464A-8D71-83A5691C04D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1</vt:i4>
      </vt:variant>
    </vt:vector>
  </HeadingPairs>
  <TitlesOfParts>
    <vt:vector size="35" baseType="lpstr">
      <vt:lpstr>Input</vt:lpstr>
      <vt:lpstr>Contents</vt:lpstr>
      <vt:lpstr>Changelog</vt:lpstr>
      <vt:lpstr>Styles</vt:lpstr>
      <vt:lpstr>Config - Styles</vt:lpstr>
      <vt:lpstr>Notes</vt:lpstr>
      <vt:lpstr>Names 2023-Jan-10</vt:lpstr>
      <vt:lpstr>Sheet4</vt:lpstr>
      <vt:lpstr>Data Dictionary</vt:lpstr>
      <vt:lpstr>DynDB_JobMetadata</vt:lpstr>
      <vt:lpstr>Sheet10</vt:lpstr>
      <vt:lpstr>Sheet2</vt:lpstr>
      <vt:lpstr>Sheet1</vt:lpstr>
      <vt:lpstr>Map_Block</vt:lpstr>
      <vt:lpstr>Base_SummaryCombos_IS</vt:lpstr>
      <vt:lpstr>Base_SummaryCombos_BS</vt:lpstr>
      <vt:lpstr>Base Tables -&gt;</vt:lpstr>
      <vt:lpstr>Map_EntryType</vt:lpstr>
      <vt:lpstr>Map_Segment</vt:lpstr>
      <vt:lpstr>Map_InsCode</vt:lpstr>
      <vt:lpstr>Map_ProdType</vt:lpstr>
      <vt:lpstr>Map_Product</vt:lpstr>
      <vt:lpstr>Map_LE</vt:lpstr>
      <vt:lpstr>Map_Company</vt:lpstr>
      <vt:lpstr>Map_Source_Chg_In_Balance</vt:lpstr>
      <vt:lpstr>Map_Source_Balance</vt:lpstr>
      <vt:lpstr>Map_InputSource</vt:lpstr>
      <vt:lpstr>Map_FinReins</vt:lpstr>
      <vt:lpstr>Map_SubDeal</vt:lpstr>
      <vt:lpstr>Map_Balance_IS</vt:lpstr>
      <vt:lpstr>Map_Balance_BS</vt:lpstr>
      <vt:lpstr>SETUP</vt:lpstr>
      <vt:lpstr>Sheet7</vt:lpstr>
      <vt:lpstr>Sheet8</vt:lpstr>
      <vt:lpstr>rngValDate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 Briggs</dc:creator>
  <cp:lastModifiedBy>Jimmy Briggs</cp:lastModifiedBy>
  <dcterms:created xsi:type="dcterms:W3CDTF">2023-01-03T19:43:35Z</dcterms:created>
  <dcterms:modified xsi:type="dcterms:W3CDTF">2023-01-24T15:23:11Z</dcterms:modified>
</cp:coreProperties>
</file>